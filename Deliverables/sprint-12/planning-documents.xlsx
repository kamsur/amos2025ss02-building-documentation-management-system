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4.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Copy of Velocity Chart" sheetId="10" r:id="rId12"/>
    <sheet state="visible" name="Mid-Project Release plan" sheetId="11" r:id="rId13"/>
    <sheet state="visible" name="Mid-project Burn-down" sheetId="12" r:id="rId14"/>
    <sheet state="visible" name="Final Project Release plan" sheetId="13" r:id="rId15"/>
    <sheet state="visible" name="Final Project Burn-down" sheetId="14" r:id="rId16"/>
    <sheet state="visible" name="Definition of Done" sheetId="15" r:id="rId17"/>
    <sheet state="visible" name="Documentation" sheetId="16" r:id="rId18"/>
    <sheet state="visible" name="Bill of Materials" sheetId="17" r:id="rId19"/>
    <sheet state="visible" name="Planning Poker" sheetId="18" r:id="rId20"/>
  </sheets>
  <definedNames/>
  <calcPr/>
</workbook>
</file>

<file path=xl/sharedStrings.xml><?xml version="1.0" encoding="utf-8"?>
<sst xmlns="http://schemas.openxmlformats.org/spreadsheetml/2006/main" count="571" uniqueCount="416">
  <si>
    <t>Project Name</t>
  </si>
  <si>
    <t>...</t>
  </si>
  <si>
    <t>Online team meeting</t>
  </si>
  <si>
    <t>https://tu-berlin.zoom-x.de/j/64327398600?pwd=iKF2e9D7PEM8Q552cgabakS0O6L9xa.1</t>
  </si>
  <si>
    <t>Production system (if any)</t>
  </si>
  <si>
    <t>http://amos.b-iq.net/</t>
  </si>
  <si>
    <t>Test system (if any)</t>
  </si>
  <si>
    <t>GitHub repository</t>
  </si>
  <si>
    <t>https://github.com/amosproj/amos2025ss02-building-documentation-management-system</t>
  </si>
  <si>
    <t>GitHub feature board</t>
  </si>
  <si>
    <t>https://github.com/orgs/amosproj/projects/80/views/2</t>
  </si>
  <si>
    <t>GitHub imp-squared backlog</t>
  </si>
  <si>
    <t>https://github.com/orgs/amosproj/projects/84</t>
  </si>
  <si>
    <t>Team T-shirt (white)</t>
  </si>
  <si>
    <t>https://www.shirtinator.de/loadBasket/vNV5XYUVMtq</t>
  </si>
  <si>
    <t>Team T-shirt (black)</t>
  </si>
  <si>
    <t>https://www.shirtinator.de/loadBasket/nQ9JYKa8F3W</t>
  </si>
  <si>
    <t>Additional materials</t>
  </si>
  <si>
    <t>Team maling list</t>
  </si>
  <si>
    <t>oss-amos-proj2@lists.fau.de</t>
  </si>
  <si>
    <t>Last Name</t>
  </si>
  <si>
    <t>First Name</t>
  </si>
  <si>
    <t>GitHub User Name</t>
  </si>
  <si>
    <t>Email Address</t>
  </si>
  <si>
    <t>Kurtz</t>
  </si>
  <si>
    <t>Daniel</t>
  </si>
  <si>
    <t>daku-de</t>
  </si>
  <si>
    <t>daniel.kurtz@fau.de</t>
  </si>
  <si>
    <t>Deli</t>
  </si>
  <si>
    <t>Deniz</t>
  </si>
  <si>
    <t>ddeli</t>
  </si>
  <si>
    <t>d.deli@campus.tu-berlin.de</t>
  </si>
  <si>
    <t>Egge</t>
  </si>
  <si>
    <t>Carl</t>
  </si>
  <si>
    <t>carl-egge</t>
  </si>
  <si>
    <t>c.egge@campus.tu-berlin.de</t>
  </si>
  <si>
    <t>Halder</t>
  </si>
  <si>
    <t>Arpita</t>
  </si>
  <si>
    <t>arpita739</t>
  </si>
  <si>
    <t>arpita.halder@fau.de</t>
  </si>
  <si>
    <t>Kazi</t>
  </si>
  <si>
    <t>Masudur Rahaman</t>
  </si>
  <si>
    <t>kamsur</t>
  </si>
  <si>
    <t>masudur.r.kazi@fau.de</t>
  </si>
  <si>
    <t>Almalla</t>
  </si>
  <si>
    <t>Nirmin</t>
  </si>
  <si>
    <t>Nirmin96</t>
  </si>
  <si>
    <t>nirmin.almalla@campus.tu-berlin.de</t>
  </si>
  <si>
    <t>Ouabo</t>
  </si>
  <si>
    <t>Samuel</t>
  </si>
  <si>
    <t>so77nava</t>
  </si>
  <si>
    <t>samuel.ouabo@fau.de</t>
  </si>
  <si>
    <t>Billah</t>
  </si>
  <si>
    <t>Masum</t>
  </si>
  <si>
    <t>masum-abid</t>
  </si>
  <si>
    <t>masum.billah@fau.de</t>
  </si>
  <si>
    <t>Hussain</t>
  </si>
  <si>
    <t>Syed Affan</t>
  </si>
  <si>
    <t>syedaffan10</t>
  </si>
  <si>
    <t>affan.hussain@fau.de</t>
  </si>
  <si>
    <t>Djamen</t>
  </si>
  <si>
    <t>Bastiane</t>
  </si>
  <si>
    <t>bastydjamen</t>
  </si>
  <si>
    <t>eugenie.djamen@fau.de</t>
  </si>
  <si>
    <t>Product Owner</t>
  </si>
  <si>
    <t>#</t>
  </si>
  <si>
    <t>Meeting Day</t>
  </si>
  <si>
    <t>Review</t>
  </si>
  <si>
    <t>Planning</t>
  </si>
  <si>
    <t>Software Developer</t>
  </si>
  <si>
    <t>Release Manager</t>
  </si>
  <si>
    <t>Scrum Master</t>
  </si>
  <si>
    <t>Comment</t>
  </si>
  <si>
    <t>Everyone else</t>
  </si>
  <si>
    <t>N/A</t>
  </si>
  <si>
    <t>Mid-term due</t>
  </si>
  <si>
    <t>Demo day!</t>
  </si>
  <si>
    <t>Retrospective</t>
  </si>
  <si>
    <t>Product owners, software developers, and Scurm Master are set and ideally don't change over time; the critical part is the Release Manager role you need to define here</t>
  </si>
  <si>
    <t>Goals</t>
  </si>
  <si>
    <t>Deliver a product that meets the stakeholder requirements.</t>
  </si>
  <si>
    <t>Everybody in the team wants to gain some new knowledge.</t>
  </si>
  <si>
    <t>Every team member should have fun during the project.</t>
  </si>
  <si>
    <t>Coming up with innovative solutions using modern technology.</t>
  </si>
  <si>
    <t>Develop our skills in teamwork and communication.</t>
  </si>
  <si>
    <t>Meeting norms</t>
  </si>
  <si>
    <t xml:space="preserve">We meet every Wednesday in the team meeting. </t>
  </si>
  <si>
    <t>POs will have weekly meetings with the stakeholder which are optional for the SDs.</t>
  </si>
  <si>
    <t>Everybody should be on time for the team meeting. If you are late or unavailable please inform the group beforehand through the defined communication channels.</t>
  </si>
  <si>
    <t>We practice a respectful and non-disciminative communication with all team members.</t>
  </si>
  <si>
    <t>Everyone should do their best to participate with Camera and Microphone turned on in the team meetings.</t>
  </si>
  <si>
    <t>Meetings will follow a clear structure that is quickly presented at the beginning of the meeting.</t>
  </si>
  <si>
    <t>Working norms</t>
  </si>
  <si>
    <t>We communicate or problems with the group and help colleagues that are stuck.</t>
  </si>
  <si>
    <t>We will follow a common Git Flow that will be defined by the SDs and follows industry best-practices.</t>
  </si>
  <si>
    <t>Commit often and use clear commit messages to avoid unnecessary conflicts.</t>
  </si>
  <si>
    <t>We will always use pull requests and code reviews instead of force pushes to improve coding quality.</t>
  </si>
  <si>
    <t>Coordination norms</t>
  </si>
  <si>
    <t>The POs are responsible for allocating assignments.</t>
  </si>
  <si>
    <t>The POs will alternatingly moderate the team meetings. The SM is responsible for keeping the team meetings on track.</t>
  </si>
  <si>
    <t>Communication norms</t>
  </si>
  <si>
    <t>We will use Discord as technical channel for programming topics.</t>
  </si>
  <si>
    <t>The Email list and Stand Up Email will be for organizational communication and announcements.</t>
  </si>
  <si>
    <t>Everybody should check these channels daily.</t>
  </si>
  <si>
    <t>We use english as a working language.</t>
  </si>
  <si>
    <t>The WhatsApp group is an additional optional channel for group conversations.</t>
  </si>
  <si>
    <t>Consideration norms</t>
  </si>
  <si>
    <t>No side conversation and technical conversations during the team meeting.</t>
  </si>
  <si>
    <t>For team decisions and disagreements an anonymous vote will be held and the majority decides.</t>
  </si>
  <si>
    <t>Cont. improvement norms</t>
  </si>
  <si>
    <t>Stand Up Emails and Hapiness Index will be used to track team work.</t>
  </si>
  <si>
    <t>No pull requests should be accepted without feedback from at least one other team member (Positive feedback is welcome).</t>
  </si>
  <si>
    <t>We practice open feedback culture and continously improve our working environment.</t>
  </si>
  <si>
    <t>Rewards</t>
  </si>
  <si>
    <t>By delivering on time everyone can reward themself with a free weekend.</t>
  </si>
  <si>
    <t>Sanctions</t>
  </si>
  <si>
    <t>We define no sanctions.</t>
  </si>
  <si>
    <t>Signatures</t>
  </si>
  <si>
    <t>Deniz Deli</t>
  </si>
  <si>
    <t>Product owner</t>
  </si>
  <si>
    <t>Daniel Kurtz</t>
  </si>
  <si>
    <t>Carl Egge</t>
  </si>
  <si>
    <t>Software developer</t>
  </si>
  <si>
    <t>Masudur Rahaman Kazi</t>
  </si>
  <si>
    <t>Bastiane Djamen</t>
  </si>
  <si>
    <t>Nirmin Almalla</t>
  </si>
  <si>
    <t>Arpita Halder</t>
  </si>
  <si>
    <t>Syed Affan Hussain</t>
  </si>
  <si>
    <t>Masum Billah</t>
  </si>
  <si>
    <t>Samuel Ouabo</t>
  </si>
  <si>
    <t>Product Vision</t>
  </si>
  <si>
    <t>Project Mission</t>
  </si>
  <si>
    <t>Managing building portfolios often means navigating scattered, inconsistent document repositories. Our system enables facility managers to easily upload files, automatically extract and validate critical metadata, classify documents by type and building, and find exactly what they need through intuitive search and natural-language queries — reducing search times from hours to seconds.
By integrating into broader building document management platforms, our solution enhances existing workflows and ensures seamless access to critical information across systems.</t>
  </si>
  <si>
    <t>We aim to build a secure, multi-tenant backend that stores uploaded permits, certificates, and maintenance reports; applies AI-driven OCR and metadata extraction to classify and validate each document; and provides a web UI where users can query and filter their building records using plain language. By implementing and demonstrating a full workflow — from document upload to automatic processing and natural-language search on sample data — we will create the technical foundation for a production-ready system that significantly reduces the time and effort required to manage building documents.</t>
  </si>
  <si>
    <t>Term</t>
  </si>
  <si>
    <t>Definition</t>
  </si>
  <si>
    <t>Document</t>
  </si>
  <si>
    <t>A term to describe arbritrary files that contain information about a Building (e.g. Energieausweis, floor plan, ...)</t>
  </si>
  <si>
    <t>Building</t>
  </si>
  <si>
    <t>Corresponds to a real world building object and is described by one ore more Documents</t>
  </si>
  <si>
    <t>Organization</t>
  </si>
  <si>
    <t>An Organization is a high level data entity that is responsible for building one or more buildings and managing the corresponding data</t>
  </si>
  <si>
    <t>User</t>
  </si>
  <si>
    <t>A system user that belongs to one organization and interacts with the Document data</t>
  </si>
  <si>
    <t>OpenAPI Client</t>
  </si>
  <si>
    <t>Tool that handles interactions with APIs defined by OpenAPI specifications</t>
  </si>
  <si>
    <t>File Explorer</t>
  </si>
  <si>
    <t>Interface to browse Documents</t>
  </si>
  <si>
    <t>Ollama</t>
  </si>
  <si>
    <t>Tool for running LLMs locally or on premise</t>
  </si>
  <si>
    <t>JWT</t>
  </si>
  <si>
    <t>JSON Web Token used for secure user authentication</t>
  </si>
  <si>
    <t>Chatbot</t>
  </si>
  <si>
    <t>Interface to communicate with LLM</t>
  </si>
  <si>
    <t>Energieausweis</t>
  </si>
  <si>
    <t>Energy certificate showing a building’s energy efficiency</t>
  </si>
  <si>
    <t>Document Meta Data</t>
  </si>
  <si>
    <t>Information about Document files including knowledge that has been extracted from the Documents content</t>
  </si>
  <si>
    <t>Key Information</t>
  </si>
  <si>
    <t>Each Document Category has a set of Key Information that are important and should always be automatically extracted on upload</t>
  </si>
  <si>
    <t>Sprint #</t>
  </si>
  <si>
    <t>Sprint goal</t>
  </si>
  <si>
    <t>Get to know the team and understand the stakeholder's requirements</t>
  </si>
  <si>
    <t>Start scaffolding basic backend and frontend infrastructure and research domain-specific knowledge</t>
  </si>
  <si>
    <t>Set up unified development and production environment through containerization and tooling</t>
  </si>
  <si>
    <t>Fix the issue of sensitive documents in the repository and enhance backend with endpoints and database connection</t>
  </si>
  <si>
    <t>Extend and prepare components so they can be easily connected</t>
  </si>
  <si>
    <t>Prepare mid-project release by binding frontend and backend together and finalizing container orchestration</t>
  </si>
  <si>
    <t>Refactor and enhance frontend to improve application data flow</t>
  </si>
  <si>
    <t>Initiate automatic Building detection and general code refactorings</t>
  </si>
  <si>
    <t>Set up OCR and research Document Categories and work on Authentication</t>
  </si>
  <si>
    <t>Enhance frontend based on workshop and Collect list of relevant information per document category</t>
  </si>
  <si>
    <t>Auto-Extract and display information from Document based on Document Category</t>
  </si>
  <si>
    <t>AI chatbot can answer questions based on database information</t>
  </si>
  <si>
    <t>Prepare Demo Day and Project Hand-Over</t>
  </si>
  <si>
    <t>Story Points Realized</t>
  </si>
  <si>
    <t>Average</t>
  </si>
  <si>
    <t>Story Points Commited</t>
  </si>
  <si>
    <t>Sprint</t>
  </si>
  <si>
    <t>Goal</t>
  </si>
  <si>
    <t>Feature Name</t>
  </si>
  <si>
    <t>Est. size</t>
  </si>
  <si>
    <t>Est. remaining</t>
  </si>
  <si>
    <t>Real size</t>
  </si>
  <si>
    <t>Real remaining</t>
  </si>
  <si>
    <t>Release</t>
  </si>
  <si>
    <t>Total</t>
  </si>
  <si>
    <t>Sprints</t>
  </si>
  <si>
    <t>Estimated burn-down</t>
  </si>
  <si>
    <t>Real burn-down</t>
  </si>
  <si>
    <t>Features</t>
  </si>
  <si>
    <t>Align on Development Guidelines</t>
  </si>
  <si>
    <t>Meet the industry partner</t>
  </si>
  <si>
    <t>Create a team logo</t>
  </si>
  <si>
    <t>Create a shirt design</t>
  </si>
  <si>
    <t>Initialize SW Bill of Materials</t>
  </si>
  <si>
    <t>Create SW Architecture Description</t>
  </si>
  <si>
    <t>Scaffold Basic C# Web API</t>
  </si>
  <si>
    <t>Scaffold Basic Angular Application</t>
  </si>
  <si>
    <t>Research Local RAG-Based LLM Solutions</t>
  </si>
  <si>
    <t>Research typical Building Documents</t>
  </si>
  <si>
    <t>Dockerize Front-End</t>
  </si>
  <si>
    <t>Dockerize Back-End</t>
  </si>
  <si>
    <t>Create DB Scheme Diagram</t>
  </si>
  <si>
    <t>Create README</t>
  </si>
  <si>
    <t>Consolidate Project Structure</t>
  </si>
  <si>
    <t>Create Docker-Compose File</t>
  </si>
  <si>
    <t>Linting and Formatting Frontend</t>
  </si>
  <si>
    <t>Linting and Formatting Backend</t>
  </si>
  <si>
    <t>Set Up GitHub Actions Pipeline</t>
  </si>
  <si>
    <t>Fix: Remove Sensitive Building Documents</t>
  </si>
  <si>
    <t>Implement Backend CRUD for Document</t>
  </si>
  <si>
    <t>Implement Backend CRUD for Building</t>
  </si>
  <si>
    <t>Integrate Linting into Pipeline</t>
  </si>
  <si>
    <t>Add Authentication to Frontend</t>
  </si>
  <si>
    <t>Design Frontend Mockup</t>
  </si>
  <si>
    <t>Set Up Ollama</t>
  </si>
  <si>
    <t>Implement Basic DB models in C#</t>
  </si>
  <si>
    <t>Reorganize DB Scheme</t>
  </si>
  <si>
    <t>Document Build Process in Video Format</t>
  </si>
  <si>
    <t>Persist Building Data in DB</t>
  </si>
  <si>
    <t>Query Ollama via Backend</t>
  </si>
  <si>
    <t>Agree on DoD</t>
  </si>
  <si>
    <t>Upload and Store Document via Frontend</t>
  </si>
  <si>
    <t>Document View Page displays Actual Documents</t>
  </si>
  <si>
    <t>Set Up Apache Tika</t>
  </si>
  <si>
    <t>Add Organization Entity to DB</t>
  </si>
  <si>
    <t>Persist Data Using Docker Volumes</t>
  </si>
  <si>
    <t>Implement Angular Frontend based on Mock Up</t>
  </si>
  <si>
    <t>Connect Frontend to LLM</t>
  </si>
  <si>
    <t>Adopt Feature Branch Workflow and Clean Up Branches</t>
  </si>
  <si>
    <t>Support OpenAPI Client Generation</t>
  </si>
  <si>
    <t>Replace Default Web Services with Angular Frontend</t>
  </si>
  <si>
    <t>Display JPG/PNG Files in Frontend</t>
  </si>
  <si>
    <t>Implement Backend Logging</t>
  </si>
  <si>
    <t>Refactor: Enforce OpenAPI SDK Usage</t>
  </si>
  <si>
    <t>Seed Database with Organization and User</t>
  </si>
  <si>
    <t>Apache Tika Integration during Upload</t>
  </si>
  <si>
    <t>Bug in Production: CRUD Endpoints for Documents</t>
  </si>
  <si>
    <t>Create a Building Form</t>
  </si>
  <si>
    <t>Bug: Backend Container not working</t>
  </si>
  <si>
    <t>Gather sample files of building documents</t>
  </si>
  <si>
    <t>Bump tar-fs</t>
  </si>
  <si>
    <t>Popup Window on Document Upload</t>
  </si>
  <si>
    <t>Implement User Authentication in Backend</t>
  </si>
  <si>
    <t>Initialize Document Category Metadata Extraction Schema</t>
  </si>
  <si>
    <t>Refactor Building Entity</t>
  </si>
  <si>
    <t>Auto-Detect a Building from a Document</t>
  </si>
  <si>
    <t>Implement Session-Based Authentication for Frontend</t>
  </si>
  <si>
    <t>GET Endpoint for Document Categories</t>
  </si>
  <si>
    <t>Implement OCR using Tika</t>
  </si>
  <si>
    <t>Enable Building and Category Change from Document View</t>
  </si>
  <si>
    <t>Display Stored Documents in Explorer</t>
  </si>
  <si>
    <t>Adjust DB Scheme to Store Key Informations (depending on Category)</t>
  </si>
  <si>
    <t>Display Key Information on File View Page</t>
  </si>
  <si>
    <t>Auto-Extract Key Information on Document Category Change</t>
  </si>
  <si>
    <t>Limit Organization Access for Users</t>
  </si>
  <si>
    <t>Enhance Frontend Design based on Team Design</t>
  </si>
  <si>
    <t>Update Bill of Materials</t>
  </si>
  <si>
    <t>Auto-Detect Document Category from Uploaded Document</t>
  </si>
  <si>
    <t>Populate Category Dropdown With Categories</t>
  </si>
  <si>
    <t>Show Loading State While Uploading</t>
  </si>
  <si>
    <t>Deploy Larger Language Model in Production</t>
  </si>
  <si>
    <t>Enforce HTTPS on Production Server</t>
  </si>
  <si>
    <t>Ask Chatbot Question regarding one specific document</t>
  </si>
  <si>
    <t>Create Document-Scoped Chatbot Endpoint</t>
  </si>
  <si>
    <t>Try To Improve Performance of OCR Systems</t>
  </si>
  <si>
    <t>Remove FastAPI from Ollama container</t>
  </si>
  <si>
    <t>Create Demo Day Slide</t>
  </si>
  <si>
    <t>Create Demo Day Video</t>
  </si>
  <si>
    <r>
      <rPr/>
      <t xml:space="preserve">Replace </t>
    </r>
    <r>
      <rPr>
        <color rgb="FF000000"/>
      </rPr>
      <t>wait-for-it.sh</t>
    </r>
    <r>
      <rPr/>
      <t xml:space="preserve"> with depends_on</t>
    </r>
  </si>
  <si>
    <t>Refactor Repository Structure and Cleanup</t>
  </si>
  <si>
    <t>Bug: Fix Document Download</t>
  </si>
  <si>
    <t>Make Key Information editable for User</t>
  </si>
  <si>
    <t>Secure Production Environment</t>
  </si>
  <si>
    <t>Fine Tune Frontend</t>
  </si>
  <si>
    <t>Fix Remaining Bugs</t>
  </si>
  <si>
    <t>Prepare for Final Presentation - Practice Demo</t>
  </si>
  <si>
    <t>Confirm Open API SDK Usage</t>
  </si>
  <si>
    <t>Update README files</t>
  </si>
  <si>
    <t>Enhance Documentation Wiki</t>
  </si>
  <si>
    <t>Remove Default weatherforecast Endpoint</t>
  </si>
  <si>
    <t>Remove unused tables from database (e.g. Document-Categories, -Permissions, -Tags)</t>
  </si>
  <si>
    <t>Always Return all Key Information Fields</t>
  </si>
  <si>
    <t>Extract Key Information in separate Prompt</t>
  </si>
  <si>
    <t>Feature Definition of Done</t>
  </si>
  <si>
    <t>Sprint Release Definition of Done</t>
  </si>
  <si>
    <t>Project Release Definition of Done</t>
  </si>
  <si>
    <t>Documentation is updated to include the new feature</t>
  </si>
  <si>
    <t>Atleast one error-free functionality (which has passed feature DoD), more than previous release.</t>
  </si>
  <si>
    <t>Stakeholders have reviewed and signed off the release</t>
  </si>
  <si>
    <t>Another SD, not the implementer, has reviewed the feature using the documentation.</t>
  </si>
  <si>
    <t>Entire project builds and deploys to production.</t>
  </si>
  <si>
    <t>Documentation (user + technical) is complete and comprehensive</t>
  </si>
  <si>
    <t>GitHub actions workflows for linting pass</t>
  </si>
  <si>
    <t>Non-UI logic (e.g., DB transactions) verified by an SD or RM.</t>
  </si>
  <si>
    <t>No critical open issues remain in backlog</t>
  </si>
  <si>
    <t>Feature branch has been merged and deleted</t>
  </si>
  <si>
    <t>Release manager writes release notes (&amp; Change log)</t>
  </si>
  <si>
    <t>All GitHub actions workflows pass</t>
  </si>
  <si>
    <t>Bill of Materials is up to date</t>
  </si>
  <si>
    <t>Type</t>
  </si>
  <si>
    <t>Link / reference</t>
  </si>
  <si>
    <t>User Documentation</t>
  </si>
  <si>
    <t>https://github.com/amosproj/amos2025ss02-building-documentation-management-system/wiki/User-Documentation</t>
  </si>
  <si>
    <t>Build and Deploy Documentation</t>
  </si>
  <si>
    <t>https://github.com/amosproj/amos2025ss02-building-documentation-management-system/wiki/Build-&amp;-Deploy</t>
  </si>
  <si>
    <t>Technical Documentation</t>
  </si>
  <si>
    <t>https://github.com/amosproj/amos2025ss02-building-documentation-management-system/wiki/Technical-Design</t>
  </si>
  <si>
    <t>Context</t>
  </si>
  <si>
    <t>Name</t>
  </si>
  <si>
    <t>Version</t>
  </si>
  <si>
    <t>License</t>
  </si>
  <si>
    <t>UI</t>
  </si>
  <si>
    <t>Angular</t>
  </si>
  <si>
    <t>MIT License</t>
  </si>
  <si>
    <t>Needed for developing UI as per client requirement</t>
  </si>
  <si>
    <t>Node.js</t>
  </si>
  <si>
    <t>22.15.0</t>
  </si>
  <si>
    <t>Custom (open-source)</t>
  </si>
  <si>
    <t>Needed for Angular</t>
  </si>
  <si>
    <t>npm</t>
  </si>
  <si>
    <t>10.9.2</t>
  </si>
  <si>
    <t>Artistic License 2.0 with additions</t>
  </si>
  <si>
    <t>Package manager, needed for Angular</t>
  </si>
  <si>
    <t>Backend (Framework)</t>
  </si>
  <si>
    <t>Microsoft.NETCore.App</t>
  </si>
  <si>
    <t>Implicit</t>
  </si>
  <si>
    <t>.NET Core base runtime (System., Microsoft.)</t>
  </si>
  <si>
    <t>Microsoft.ASPNetCore.App</t>
  </si>
  <si>
    <t>ASP.NET Core web framework (Controllers, Routing, Authorization)</t>
  </si>
  <si>
    <t>Backend (Library)</t>
  </si>
  <si>
    <t>Swashbuckle.AspNetCore</t>
  </si>
  <si>
    <t>6.5.0</t>
  </si>
  <si>
    <t>Provides Swagger/OpenAPI documentation and UI</t>
  </si>
  <si>
    <t>AspNetCore.HealthChecks.UI</t>
  </si>
  <si>
    <t>6.0.4</t>
  </si>
  <si>
    <t>Apache 2.0 License</t>
  </si>
  <si>
    <t>Adds health check endpoints (/healthz) and optional health UI</t>
  </si>
  <si>
    <t>Entity Framework Core .NET Command-Line Tools</t>
  </si>
  <si>
    <t>9.0.4</t>
  </si>
  <si>
    <t>Used to manage EF Core database tasks from the terminal</t>
  </si>
  <si>
    <t>tar-fs</t>
  </si>
  <si>
    <t>&gt; 2.1.3</t>
  </si>
  <si>
    <t>Implicit dependency for frontend. Lower versions had security issues flagged by GitHub dependabot</t>
  </si>
  <si>
    <t>GitHub Actions workflow</t>
  </si>
  <si>
    <t>actions/checkout</t>
  </si>
  <si>
    <t>Used by GitHub workflow to checkout repository</t>
  </si>
  <si>
    <t>appleboy/scp-action</t>
  </si>
  <si>
    <t>0.1.4</t>
  </si>
  <si>
    <t>GitHub Action that copy files and artifacts via SSH.</t>
  </si>
  <si>
    <t>appleboy/ssh-action</t>
  </si>
  <si>
    <t>1.0.0</t>
  </si>
  <si>
    <t>GitHub Actions for executing remote ssh commands.</t>
  </si>
  <si>
    <t>docker/build-push-action</t>
  </si>
  <si>
    <t>GitHub Action to build and push Docker images with Buildx</t>
  </si>
  <si>
    <t xml:space="preserve">docker/login-action
</t>
  </si>
  <si>
    <t>GitHub Action to login against a Docker registry</t>
  </si>
  <si>
    <t>docker/setup-buildx-action</t>
  </si>
  <si>
    <t xml:space="preserve">GitHub Action to set up Docker Buildx
</t>
  </si>
  <si>
    <t>actions/setup-node</t>
  </si>
  <si>
    <t>Set up your GitHub Actions workflow with a specific version of node.js</t>
  </si>
  <si>
    <t xml:space="preserve">actions/setup-dotnet
</t>
  </si>
  <si>
    <t>Set up your GitHub Actions workflow with a specific version of the .NET core sdk</t>
  </si>
  <si>
    <t xml:space="preserve">peter-evans/create-pull-request
</t>
  </si>
  <si>
    <t>A GitHub action to create a pull request for changes to your repository in the actions workspace</t>
  </si>
  <si>
    <t>webpack-dev-server</t>
  </si>
  <si>
    <t>5.2.2</t>
  </si>
  <si>
    <t>Typescript</t>
  </si>
  <si>
    <t>5.7.3</t>
  </si>
  <si>
    <t>Frontend codebase language</t>
  </si>
  <si>
    <t>ESLint</t>
  </si>
  <si>
    <t>9.29.0</t>
  </si>
  <si>
    <t>Frontend linter</t>
  </si>
  <si>
    <t>Prettier</t>
  </si>
  <si>
    <t>3.5.3</t>
  </si>
  <si>
    <t>Frontend formatter</t>
  </si>
  <si>
    <t xml:space="preserve">ng2-pdf-viewer
</t>
  </si>
  <si>
    <t>10.4.0</t>
  </si>
  <si>
    <t>Angular pdf viewer component</t>
  </si>
  <si>
    <t>jwt-decode</t>
  </si>
  <si>
    <t>3.1.2</t>
  </si>
  <si>
    <t>Decode JWT tokens</t>
  </si>
  <si>
    <t>requests</t>
  </si>
  <si>
    <t>2.32.4</t>
  </si>
  <si>
    <t>HTTP library</t>
  </si>
  <si>
    <t>httpx</t>
  </si>
  <si>
    <t>0.28.1</t>
  </si>
  <si>
    <t>BSD-3-Clause license</t>
  </si>
  <si>
    <t>HTTP client for Python</t>
  </si>
  <si>
    <t>uvicorn</t>
  </si>
  <si>
    <t>0.35.0</t>
  </si>
  <si>
    <t>ASGI web server, for Python</t>
  </si>
  <si>
    <t>fastapi</t>
  </si>
  <si>
    <t>0.115.14</t>
  </si>
  <si>
    <t>API framework similar to OpenAPI</t>
  </si>
  <si>
    <t>Backend</t>
  </si>
  <si>
    <t>9.0.0</t>
  </si>
  <si>
    <t>Enterprise HealthChecks for ASP.NET Core Diagnostics Package</t>
  </si>
  <si>
    <t>Microsoft.AspNetCore.Authentication.JwtBearer</t>
  </si>
  <si>
    <t>8.0.0</t>
  </si>
  <si>
    <t xml:space="preserve">Middleware for security and authorization of web apps. </t>
  </si>
  <si>
    <t>Microsoft.AspNetCore.OpenApi</t>
  </si>
  <si>
    <t>For OpenAPi client</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</si>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</sst>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strike/>
    </font>
    <font>
      <sz val="11.0"/>
      <color rgb="FF1F2328"/>
      <name val="-apple-system"/>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22">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2" numFmtId="0" xfId="0" applyAlignment="1" applyFont="1">
      <alignment readingOrder="0" shrinkToFit="0" wrapText="0"/>
    </xf>
    <xf borderId="0" fillId="0" fontId="5" numFmtId="0" xfId="0" applyAlignment="1" applyFont="1">
      <alignment readingOrder="0" shrinkToFit="0" wrapText="0"/>
    </xf>
    <xf borderId="0" fillId="2" fontId="6" numFmtId="0" xfId="0" applyAlignment="1" applyFill="1" applyFont="1">
      <alignment horizontal="left" readingOrder="0" shrinkToFit="0" wrapText="1"/>
    </xf>
    <xf borderId="0" fillId="0" fontId="1" numFmtId="0" xfId="0" applyAlignment="1" applyFont="1">
      <alignment shrinkToFit="0" wrapText="0"/>
    </xf>
    <xf borderId="0" fillId="0" fontId="2"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2" fontId="7" numFmtId="0" xfId="0" applyAlignment="1" applyFont="1">
      <alignment readingOrder="0"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4" fontId="8" numFmtId="0" xfId="0" applyAlignment="1" applyFont="1">
      <alignment horizontal="right" shrinkToFit="0" vertical="bottom" wrapText="1"/>
    </xf>
    <xf borderId="0" fillId="4" fontId="8" numFmtId="0" xfId="0" applyAlignment="1" applyFont="1">
      <alignment horizontal="right" readingOrder="0" shrinkToFit="0" vertical="bottom" wrapText="1"/>
    </xf>
    <xf borderId="0" fillId="2" fontId="8" numFmtId="0" xfId="0" applyAlignment="1" applyFont="1">
      <alignment horizontal="right" shrinkToFit="0" vertical="bottom" wrapText="1"/>
    </xf>
    <xf borderId="0" fillId="2" fontId="8" numFmtId="0" xfId="0" applyAlignment="1" applyFont="1">
      <alignment horizontal="right" readingOrder="0" shrinkToFit="0" vertical="bottom" wrapText="1"/>
    </xf>
    <xf borderId="0" fillId="4" fontId="2" numFmtId="0" xfId="0" applyAlignment="1" applyFont="1">
      <alignment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5" fontId="7" numFmtId="0" xfId="0" applyAlignment="1" applyFill="1" applyFont="1">
      <alignment horizontal="left" shrinkToFit="0" vertical="bottom" wrapText="0"/>
    </xf>
    <xf borderId="0" fillId="5" fontId="8" numFmtId="0" xfId="0" applyAlignment="1" applyFont="1">
      <alignment shrinkToFit="0" vertical="bottom" wrapText="0"/>
    </xf>
    <xf borderId="0" fillId="5"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6" fontId="7" numFmtId="0" xfId="0" applyAlignment="1" applyFill="1" applyFont="1">
      <alignment horizontal="left" shrinkToFit="0" vertical="bottom" wrapText="0"/>
    </xf>
    <xf borderId="0" fillId="6" fontId="7" numFmtId="0" xfId="0" applyAlignment="1" applyFont="1">
      <alignment shrinkToFit="0" vertical="bottom" wrapText="0"/>
    </xf>
    <xf borderId="0" fillId="6" fontId="8" numFmtId="0" xfId="0" applyAlignment="1" applyFont="1">
      <alignment shrinkToFit="0" vertical="bottom" wrapText="1"/>
    </xf>
    <xf borderId="0" fillId="2" fontId="9" numFmtId="0" xfId="0" applyAlignment="1" applyFont="1">
      <alignment horizontal="center" shrinkToFit="0" vertical="bottom" wrapText="0"/>
    </xf>
    <xf borderId="0" fillId="2" fontId="8" numFmtId="0" xfId="0" applyAlignment="1" applyFont="1">
      <alignment horizontal="left" shrinkToFit="0" vertical="bottom" wrapText="1"/>
    </xf>
    <xf borderId="0" fillId="2" fontId="7" numFmtId="0" xfId="0" applyAlignment="1" applyFont="1">
      <alignment readingOrder="0" shrinkToFit="0" vertical="bottom" wrapText="0"/>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7" numFmtId="0" xfId="0" applyAlignment="1" applyFont="1">
      <alignment shrinkToFit="0" vertical="bottom" wrapText="0"/>
    </xf>
    <xf borderId="0" fillId="7" fontId="7" numFmtId="0" xfId="0" applyAlignment="1" applyFill="1" applyFont="1">
      <alignment horizontal="left" shrinkToFit="0" vertical="bottom" wrapText="0"/>
    </xf>
    <xf borderId="0" fillId="7" fontId="8" numFmtId="0" xfId="0" applyAlignment="1" applyFont="1">
      <alignment shrinkToFit="0" vertical="bottom" wrapText="0"/>
    </xf>
    <xf borderId="0" fillId="7" fontId="8" numFmtId="0" xfId="0" applyAlignment="1" applyFont="1">
      <alignment shrinkToFit="0" vertical="bottom" wrapText="1"/>
    </xf>
    <xf borderId="0" fillId="4" fontId="7" numFmtId="0" xfId="0" applyAlignment="1" applyFont="1">
      <alignment horizontal="left" shrinkToFit="0" vertical="bottom" wrapText="0"/>
    </xf>
    <xf borderId="0" fillId="4" fontId="7" numFmtId="0" xfId="0" applyAlignment="1" applyFont="1">
      <alignment shrinkToFit="0" vertical="bottom" wrapText="0"/>
    </xf>
    <xf borderId="0" fillId="2" fontId="8" numFmtId="0" xfId="0" applyAlignment="1" applyFont="1">
      <alignment shrinkToFit="0" vertical="bottom" wrapText="0"/>
    </xf>
    <xf borderId="0" fillId="2" fontId="8" numFmtId="0" xfId="0" applyAlignment="1" applyFont="1">
      <alignment readingOrder="0" shrinkToFit="0" vertical="bottom" wrapText="0"/>
    </xf>
    <xf borderId="0" fillId="2" fontId="8" numFmtId="0" xfId="0" applyAlignment="1" applyFont="1">
      <alignment horizontal="right" readingOrder="0" shrinkToFit="0" vertical="bottom" wrapText="0"/>
    </xf>
    <xf borderId="0" fillId="2" fontId="8" numFmtId="0" xfId="0" applyAlignment="1" applyFont="1">
      <alignment horizontal="left" shrinkToFit="0" vertical="bottom" wrapText="0"/>
    </xf>
    <xf borderId="0" fillId="2" fontId="7" numFmtId="0" xfId="0" applyAlignment="1" applyFont="1">
      <alignment shrinkToFit="0" vertical="bottom" wrapText="0"/>
    </xf>
    <xf borderId="0" fillId="4" fontId="7" numFmtId="0" xfId="0" applyAlignment="1" applyFont="1">
      <alignment horizontal="left" readingOrder="0" shrinkToFit="0" vertical="bottom" wrapText="1"/>
    </xf>
    <xf borderId="0" fillId="2" fontId="2" numFmtId="0" xfId="0" applyAlignment="1" applyFont="1">
      <alignment readingOrder="0" shrinkToFit="0" wrapText="0"/>
    </xf>
    <xf borderId="0" fillId="4" fontId="7" numFmtId="0" xfId="0" applyAlignment="1" applyFont="1">
      <alignment readingOrder="0" shrinkToFit="0" vertical="bottom" wrapText="0"/>
    </xf>
    <xf borderId="0" fillId="4" fontId="8" numFmtId="0" xfId="0" applyAlignment="1" applyFont="1">
      <alignment readingOrder="0" shrinkToFit="0" vertical="bottom" wrapText="1"/>
    </xf>
    <xf borderId="0" fillId="2" fontId="7" numFmtId="0" xfId="0" applyAlignment="1" applyFont="1">
      <alignment horizontal="left" shrinkToFit="0" vertical="bottom" wrapText="0"/>
    </xf>
    <xf borderId="0" fillId="2" fontId="7" numFmtId="0" xfId="0" applyAlignment="1" applyFont="1">
      <alignment horizontal="left" readingOrder="0" shrinkToFit="0" vertical="bottom" wrapText="1"/>
    </xf>
    <xf borderId="0" fillId="2" fontId="2" numFmtId="0" xfId="0" applyAlignment="1" applyFont="1">
      <alignment readingOrder="0" shrinkToFit="0" wrapText="0"/>
    </xf>
    <xf borderId="0" fillId="2" fontId="2" numFmtId="0" xfId="0" applyAlignment="1" applyFont="1">
      <alignment readingOrder="0" shrinkToFit="0"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vertical="top"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8" fontId="8" numFmtId="0" xfId="0" applyAlignment="1" applyFill="1" applyFont="1">
      <alignment horizontal="center" readingOrder="0" shrinkToFit="0" vertical="center" wrapText="1"/>
    </xf>
    <xf borderId="0" fillId="2" fontId="8" numFmtId="4" xfId="0" applyAlignment="1" applyFont="1" applyNumberFormat="1">
      <alignment shrinkToFit="0" vertical="center" wrapText="1"/>
    </xf>
    <xf borderId="0" fillId="7" fontId="10" numFmtId="4" xfId="0" applyAlignment="1" applyFont="1" applyNumberFormat="1">
      <alignment horizontal="center" shrinkToFit="0" vertical="center" wrapText="1"/>
    </xf>
    <xf borderId="0" fillId="7" fontId="10"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6" fontId="8" numFmtId="0" xfId="0" applyAlignment="1" applyFont="1">
      <alignment horizontal="center" shrinkToFit="0" vertical="center" wrapText="1"/>
    </xf>
    <xf borderId="0" fillId="6" fontId="8" numFmtId="0" xfId="0" applyAlignment="1" applyFont="1">
      <alignment readingOrder="0" shrinkToFit="0" vertical="center" wrapText="1"/>
    </xf>
    <xf borderId="0" fillId="8" fontId="8" numFmtId="0" xfId="0" applyAlignment="1" applyFont="1">
      <alignment horizontal="center" shrinkToFit="0" vertical="center" wrapText="1"/>
    </xf>
    <xf borderId="0" fillId="8"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4.xml"/><Relationship Id="rId11" Type="http://schemas.openxmlformats.org/officeDocument/2006/relationships/chartsheet" Target="chartsheets/sheet1.xml"/><Relationship Id="rId10" Type="http://schemas.openxmlformats.org/officeDocument/2006/relationships/worksheet" Target="worksheets/sheet8.xml"/><Relationship Id="rId13" Type="http://schemas.openxmlformats.org/officeDocument/2006/relationships/worksheet" Target="worksheets/sheet9.xml"/><Relationship Id="rId12" Type="http://schemas.openxmlformats.org/officeDocument/2006/relationships/chartsheet" Target="chartsheets/sheet2.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0.xml"/><Relationship Id="rId14" Type="http://schemas.openxmlformats.org/officeDocument/2006/relationships/chartsheet" Target="chartsheets/sheet3.xml"/><Relationship Id="rId17" Type="http://schemas.openxmlformats.org/officeDocument/2006/relationships/worksheet" Target="worksheets/sheet11.xml"/><Relationship Id="rId16" Type="http://schemas.openxmlformats.org/officeDocument/2006/relationships/chartsheet" Target="chartsheets/sheet4.xml"/><Relationship Id="rId5" Type="http://schemas.openxmlformats.org/officeDocument/2006/relationships/worksheet" Target="worksheets/sheet3.xml"/><Relationship Id="rId19" Type="http://schemas.openxmlformats.org/officeDocument/2006/relationships/worksheet" Target="worksheets/sheet13.xml"/><Relationship Id="rId6" Type="http://schemas.openxmlformats.org/officeDocument/2006/relationships/worksheet" Target="worksheets/sheet4.xml"/><Relationship Id="rId18" Type="http://schemas.openxmlformats.org/officeDocument/2006/relationships/worksheet" Target="worksheets/sheet12.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dPt>
            <c:idx val="5"/>
          </c:dPt>
          <c:cat>
            <c:strRef>
              <c:f>'Velocity Tracking'!$A$2:$A$20</c:f>
            </c:strRef>
          </c:cat>
          <c:val>
            <c:numRef>
              <c:f>'Velocity Tracking'!$B$2:$B$20</c:f>
              <c:numCache/>
            </c:numRef>
          </c:val>
        </c:ser>
        <c:axId val="120199443"/>
        <c:axId val="522785875"/>
      </c:barChart>
      <c:lineChart>
        <c:varyColors val="0"/>
        <c:ser>
          <c:idx val="1"/>
          <c:order val="1"/>
          <c:tx>
            <c:v>Average</c:v>
          </c:tx>
          <c:spPr>
            <a:ln cmpd="sng">
              <a:solidFill>
                <a:srgbClr val="000000">
                  <a:alpha val="100000"/>
                </a:srgbClr>
              </a:solidFill>
            </a:ln>
          </c:spPr>
          <c:marker>
            <c:symbol val="none"/>
          </c:marker>
          <c:cat>
            <c:strRef>
              <c:f>'Velocity Tracking'!$A$2:$A$20</c:f>
            </c:strRef>
          </c:cat>
          <c:val>
            <c:numRef>
              <c:f>'Velocity Tracking'!$B$2:$B$20</c:f>
              <c:numCache/>
            </c:numRef>
          </c:val>
          <c:smooth val="0"/>
        </c:ser>
        <c:axId val="120199443"/>
        <c:axId val="522785875"/>
      </c:lineChart>
      <c:catAx>
        <c:axId val="12019944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522785875"/>
      </c:catAx>
      <c:valAx>
        <c:axId val="5227858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 Realized</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2019944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ser>
          <c:idx val="2"/>
          <c:order val="2"/>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axId val="1698553329"/>
        <c:axId val="112222248"/>
      </c:barChart>
      <c:lineChart>
        <c:varyColors val="0"/>
        <c:ser>
          <c:idx val="1"/>
          <c:order val="1"/>
          <c:tx>
            <c:strRef>
              <c:f>'Velocity Tracking'!$B$1</c:f>
            </c:strRef>
          </c:tx>
          <c:spPr>
            <a:ln cmpd="sng">
              <a:solidFill>
                <a:srgbClr val="DB4437"/>
              </a:solidFill>
            </a:ln>
          </c:spPr>
          <c:marker>
            <c:symbol val="none"/>
          </c:marker>
          <c:cat>
            <c:strRef>
              <c:f>'Velocity Tracking'!$A$2:$A$16</c:f>
            </c:strRef>
          </c:cat>
          <c:val>
            <c:numRef>
              <c:f>'Velocity Tracking'!$B$2:$B$16</c:f>
              <c:numCache/>
            </c:numRef>
          </c:val>
          <c:smooth val="0"/>
        </c:ser>
        <c:axId val="1698553329"/>
        <c:axId val="112222248"/>
      </c:lineChart>
      <c:catAx>
        <c:axId val="169855332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12222248"/>
      </c:catAx>
      <c:valAx>
        <c:axId val="112222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9855332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'Mid-Project Release plan'!$E$9:$E$14</c:f>
              <c:numCache/>
            </c:numRef>
          </c:val>
        </c:ser>
        <c:ser>
          <c:idx val="1"/>
          <c:order val="1"/>
          <c:tx>
            <c:v>Real burn-down</c:v>
          </c:tx>
          <c:spPr>
            <a:solidFill>
              <a:srgbClr val="DB4437"/>
            </a:solidFill>
            <a:ln cmpd="sng">
              <a:solidFill>
                <a:srgbClr val="000000"/>
              </a:solidFill>
            </a:ln>
          </c:spPr>
          <c:val>
            <c:numRef>
              <c:f>'Mid-Project Release plan'!$E$9:$E$14</c:f>
              <c:numCache/>
            </c:numRef>
          </c:val>
        </c:ser>
        <c:ser>
          <c:idx val="2"/>
          <c:order val="2"/>
          <c:val>
            <c:numRef>
              <c:f>'Mid-Project Release plan'!$G$9:$G$14</c:f>
              <c:numCache/>
            </c:numRef>
          </c:val>
        </c:ser>
        <c:ser>
          <c:idx val="3"/>
          <c:order val="3"/>
          <c:val>
            <c:numRef>
              <c:f>'Mid-Project Release plan'!$G$9:$G$14</c:f>
              <c:numCache/>
            </c:numRef>
          </c:val>
        </c:ser>
        <c:axId val="429533001"/>
        <c:axId val="1711367344"/>
      </c:barChart>
      <c:catAx>
        <c:axId val="42953300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711367344"/>
      </c:catAx>
      <c:valAx>
        <c:axId val="1711367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429533001"/>
        <c:majorUnit val="20.0"/>
      </c:valAx>
    </c:plotArea>
    <c:legend>
      <c:legendPos val="r"/>
      <c:overlay val="0"/>
      <c:txPr>
        <a:bodyPr/>
        <a:lstStyle/>
        <a:p>
          <a:pPr lvl="0">
            <a:defRPr b="0">
              <a:solidFill>
                <a:srgbClr val="000000"/>
              </a:solidFill>
              <a:latin typeface="Roboto"/>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Mid-project Burn-Down Chart</a:t>
            </a:r>
          </a:p>
        </c:rich>
      </c:tx>
      <c:overlay val="0"/>
    </c:title>
    <c:plotArea>
      <c:layout/>
      <c:barChart>
        <c:barDir val="col"/>
        <c:ser>
          <c:idx val="0"/>
          <c:order val="0"/>
          <c:tx>
            <c:v>Estimated burn-down</c:v>
          </c:tx>
          <c:spPr>
            <a:solidFill>
              <a:srgbClr val="4285F4"/>
            </a:solidFill>
            <a:ln cmpd="sng">
              <a:solidFill>
                <a:srgbClr val="000000"/>
              </a:solidFill>
            </a:ln>
          </c:spPr>
          <c:val>
            <c:numRef>
              <c:f>'Final Project Release plan'!$E$9:$E$15</c:f>
              <c:numCache/>
            </c:numRef>
          </c:val>
        </c:ser>
        <c:ser>
          <c:idx val="1"/>
          <c:order val="1"/>
          <c:tx>
            <c:v>Real burn-down</c:v>
          </c:tx>
          <c:spPr>
            <a:solidFill>
              <a:srgbClr val="DB4437"/>
            </a:solidFill>
            <a:ln cmpd="sng">
              <a:solidFill>
                <a:srgbClr val="000000"/>
              </a:solidFill>
            </a:ln>
          </c:spPr>
          <c:val>
            <c:numRef>
              <c:f>'Final Project Release plan'!$E$9:$E$15</c:f>
              <c:numCache/>
            </c:numRef>
          </c:val>
        </c:ser>
        <c:ser>
          <c:idx val="2"/>
          <c:order val="2"/>
          <c:val>
            <c:numRef>
              <c:f>'Final Project Release plan'!$G$9:$G$15</c:f>
              <c:numCache/>
            </c:numRef>
          </c:val>
        </c:ser>
        <c:ser>
          <c:idx val="3"/>
          <c:order val="3"/>
          <c:val>
            <c:numRef>
              <c:f>'Final Project Release plan'!$G$9:$G$15</c:f>
              <c:numCache/>
            </c:numRef>
          </c:val>
        </c:ser>
        <c:axId val="755247763"/>
        <c:axId val="303854793"/>
      </c:barChart>
      <c:catAx>
        <c:axId val="75524776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303854793"/>
      </c:catAx>
      <c:valAx>
        <c:axId val="3038547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755247763"/>
        <c:majorUnit val="20.0"/>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4.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50" displayName="Table_4" name="Table_4" id="4">
  <tableColumns count="2">
    <tableColumn name="Goals" id="1"/>
    <tableColumn name="Deliver a product that meets the stakeholder requirement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Average" id="3"/>
    <tableColumn name="Story Points Commited" id="4"/>
  </tableColumns>
  <tableStyleInfo name="Velocity Tracking-style" showColumnStripes="0" showFirstColumn="1" showLastColumn="1" showRowStripes="1"/>
</table>
</file>

<file path=xl/tables/table8.xml><?xml version="1.0" encoding="utf-8"?>
<table xmlns="http://schemas.openxmlformats.org/spreadsheetml/2006/main" ref="A1:G67"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88"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33"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4327398600?pwd=iKF2e9D7PEM8Q552cgabakS0O6L9xa.1" TargetMode="External"/><Relationship Id="rId2" Type="http://schemas.openxmlformats.org/officeDocument/2006/relationships/hyperlink" Target="http://amos.b-iq.net/" TargetMode="External"/><Relationship Id="rId3" Type="http://schemas.openxmlformats.org/officeDocument/2006/relationships/hyperlink" Target="https://github.com/amosproj/amos2025ss02-building-documentation-management-system" TargetMode="External"/><Relationship Id="rId4" Type="http://schemas.openxmlformats.org/officeDocument/2006/relationships/hyperlink" Target="https://github.com/orgs/amosproj/projects/80/views/2" TargetMode="External"/><Relationship Id="rId10" Type="http://schemas.openxmlformats.org/officeDocument/2006/relationships/table" Target="../tables/table1.xml"/><Relationship Id="rId5" Type="http://schemas.openxmlformats.org/officeDocument/2006/relationships/hyperlink" Target="https://github.com/orgs/amosproj/projects/84" TargetMode="External"/><Relationship Id="rId6" Type="http://schemas.openxmlformats.org/officeDocument/2006/relationships/hyperlink" Target="https://www.shirtinator.de/loadBasket/vNV5XYUVMtq" TargetMode="External"/><Relationship Id="rId7" Type="http://schemas.openxmlformats.org/officeDocument/2006/relationships/hyperlink" Target="https://www.shirtinator.de/loadBasket/nQ9JYKa8F3W"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amosproj/amos2025ss02-building-documentation-management-system/wiki/User-Documentation" TargetMode="External"/><Relationship Id="rId2" Type="http://schemas.openxmlformats.org/officeDocument/2006/relationships/hyperlink" Target="https://github.com/amosproj/amos2025ss02-building-documentation-management-system/wiki/Build-&amp;-Deploy" TargetMode="External"/><Relationship Id="rId3" Type="http://schemas.openxmlformats.org/officeDocument/2006/relationships/hyperlink" Target="https://github.com/amosproj/amos2025ss02-building-documentation-management-system/wiki/Technical-Design" TargetMode="External"/><Relationship Id="rId4" Type="http://schemas.openxmlformats.org/officeDocument/2006/relationships/drawing" Target="../drawings/drawing16.xml"/><Relationship Id="rId6"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13"/>
    <col customWidth="1" min="2" max="2" width="100.13"/>
  </cols>
  <sheetData>
    <row r="1">
      <c r="A1" s="1" t="s">
        <v>0</v>
      </c>
      <c r="B1" s="2" t="s">
        <v>1</v>
      </c>
    </row>
    <row r="2">
      <c r="A2" s="1"/>
      <c r="B2" s="2"/>
    </row>
    <row r="3">
      <c r="A3" s="3" t="s">
        <v>2</v>
      </c>
      <c r="B3" s="4" t="s">
        <v>3</v>
      </c>
    </row>
    <row r="4">
      <c r="A4" s="1"/>
      <c r="B4" s="2"/>
    </row>
    <row r="5">
      <c r="A5" s="3" t="s">
        <v>4</v>
      </c>
      <c r="B5" s="4" t="s">
        <v>5</v>
      </c>
    </row>
    <row r="6">
      <c r="A6" s="3" t="s">
        <v>6</v>
      </c>
      <c r="B6" s="5" t="s">
        <v>1</v>
      </c>
    </row>
    <row r="7">
      <c r="A7" s="1"/>
      <c r="B7" s="2"/>
    </row>
    <row r="8">
      <c r="A8" s="3" t="s">
        <v>7</v>
      </c>
      <c r="B8" s="4" t="s">
        <v>8</v>
      </c>
    </row>
    <row r="9">
      <c r="A9" s="3" t="s">
        <v>9</v>
      </c>
      <c r="B9" s="4" t="s">
        <v>10</v>
      </c>
    </row>
    <row r="10">
      <c r="A10" s="3" t="s">
        <v>11</v>
      </c>
      <c r="B10" s="4" t="s">
        <v>12</v>
      </c>
    </row>
    <row r="11">
      <c r="A11" s="1"/>
      <c r="B11" s="2"/>
    </row>
    <row r="12">
      <c r="A12" s="3" t="s">
        <v>13</v>
      </c>
      <c r="B12" s="6" t="s">
        <v>14</v>
      </c>
    </row>
    <row r="13">
      <c r="A13" s="3" t="s">
        <v>15</v>
      </c>
      <c r="B13" s="6" t="s">
        <v>16</v>
      </c>
    </row>
    <row r="14">
      <c r="A14" s="1"/>
      <c r="B14" s="2"/>
    </row>
    <row r="15">
      <c r="A15" s="1" t="s">
        <v>17</v>
      </c>
      <c r="B15" s="2" t="s">
        <v>1</v>
      </c>
    </row>
    <row r="16">
      <c r="A16" s="1"/>
      <c r="B16" s="2"/>
    </row>
    <row r="17">
      <c r="A17" s="3" t="s">
        <v>18</v>
      </c>
      <c r="B17" s="5" t="s">
        <v>19</v>
      </c>
    </row>
    <row r="18">
      <c r="A18" s="1"/>
      <c r="B18" s="2"/>
    </row>
    <row r="19">
      <c r="A19" s="1"/>
      <c r="B19" s="2"/>
    </row>
    <row r="20">
      <c r="A20" s="1"/>
      <c r="B20" s="2"/>
    </row>
  </sheetData>
  <hyperlinks>
    <hyperlink r:id="rId1" ref="B3"/>
    <hyperlink r:id="rId2" ref="B5"/>
    <hyperlink r:id="rId3" ref="B8"/>
    <hyperlink r:id="rId4" ref="B9"/>
    <hyperlink r:id="rId5" ref="B10"/>
    <hyperlink r:id="rId6" ref="B12"/>
    <hyperlink r:id="rId7" ref="B13"/>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7" t="s">
        <v>20</v>
      </c>
      <c r="B1" s="7" t="s">
        <v>21</v>
      </c>
      <c r="C1" s="7" t="s">
        <v>22</v>
      </c>
      <c r="D1" s="7" t="s">
        <v>23</v>
      </c>
    </row>
    <row r="2">
      <c r="A2" s="8" t="s">
        <v>24</v>
      </c>
      <c r="B2" s="8" t="s">
        <v>25</v>
      </c>
      <c r="C2" s="8" t="s">
        <v>26</v>
      </c>
      <c r="D2" s="8" t="s">
        <v>27</v>
      </c>
    </row>
    <row r="3">
      <c r="A3" s="8" t="s">
        <v>28</v>
      </c>
      <c r="B3" s="8" t="s">
        <v>29</v>
      </c>
      <c r="C3" s="8" t="s">
        <v>30</v>
      </c>
      <c r="D3" s="8" t="s">
        <v>31</v>
      </c>
    </row>
    <row r="4">
      <c r="A4" s="8" t="s">
        <v>32</v>
      </c>
      <c r="B4" s="8" t="s">
        <v>33</v>
      </c>
      <c r="C4" s="8" t="s">
        <v>34</v>
      </c>
      <c r="D4" s="9" t="s">
        <v>35</v>
      </c>
    </row>
    <row r="5">
      <c r="A5" s="10" t="s">
        <v>36</v>
      </c>
      <c r="B5" s="10" t="s">
        <v>37</v>
      </c>
      <c r="C5" s="8" t="s">
        <v>38</v>
      </c>
      <c r="D5" s="8" t="s">
        <v>39</v>
      </c>
    </row>
    <row r="6">
      <c r="A6" s="8" t="s">
        <v>40</v>
      </c>
      <c r="B6" s="8" t="s">
        <v>41</v>
      </c>
      <c r="C6" s="8" t="s">
        <v>42</v>
      </c>
      <c r="D6" s="8" t="s">
        <v>43</v>
      </c>
    </row>
    <row r="7">
      <c r="A7" s="11" t="s">
        <v>44</v>
      </c>
      <c r="B7" s="11" t="s">
        <v>45</v>
      </c>
      <c r="C7" s="11" t="s">
        <v>46</v>
      </c>
      <c r="D7" s="11" t="s">
        <v>47</v>
      </c>
    </row>
    <row r="8">
      <c r="A8" s="8" t="s">
        <v>48</v>
      </c>
      <c r="B8" s="8" t="s">
        <v>49</v>
      </c>
      <c r="C8" s="8" t="s">
        <v>50</v>
      </c>
      <c r="D8" s="8" t="s">
        <v>51</v>
      </c>
    </row>
    <row r="9">
      <c r="A9" s="8" t="s">
        <v>52</v>
      </c>
      <c r="B9" s="8" t="s">
        <v>53</v>
      </c>
      <c r="C9" s="12" t="s">
        <v>54</v>
      </c>
      <c r="D9" s="8" t="s">
        <v>55</v>
      </c>
    </row>
    <row r="10">
      <c r="A10" s="8" t="s">
        <v>56</v>
      </c>
      <c r="B10" s="8" t="s">
        <v>57</v>
      </c>
      <c r="C10" s="8" t="s">
        <v>58</v>
      </c>
      <c r="D10" s="8" t="s">
        <v>59</v>
      </c>
    </row>
    <row r="11">
      <c r="A11" s="9" t="s">
        <v>60</v>
      </c>
      <c r="B11" s="9" t="s">
        <v>61</v>
      </c>
      <c r="C11" s="9" t="s">
        <v>62</v>
      </c>
      <c r="D11" s="9" t="s">
        <v>63</v>
      </c>
    </row>
    <row r="13">
      <c r="A13" s="7"/>
      <c r="B13" s="13"/>
      <c r="C13" s="13"/>
      <c r="D13" s="13"/>
    </row>
    <row r="14">
      <c r="A14" s="14"/>
      <c r="B14" s="8"/>
      <c r="C14" s="14"/>
      <c r="D14" s="14"/>
    </row>
    <row r="15">
      <c r="A15" s="14"/>
      <c r="B15" s="8"/>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45763.0</v>
      </c>
      <c r="C3" s="8"/>
      <c r="D3" s="8" t="s">
        <v>25</v>
      </c>
      <c r="E3" s="8" t="s">
        <v>73</v>
      </c>
      <c r="F3" s="8" t="s">
        <v>74</v>
      </c>
      <c r="G3" s="8" t="s">
        <v>29</v>
      </c>
      <c r="H3" s="21"/>
    </row>
    <row r="4">
      <c r="A4" s="19">
        <v>2.0</v>
      </c>
      <c r="B4" s="22">
        <f t="shared" ref="B4:B17" si="1">B3+7</f>
        <v>45770</v>
      </c>
      <c r="C4" s="8" t="s">
        <v>25</v>
      </c>
      <c r="D4" s="8" t="s">
        <v>33</v>
      </c>
      <c r="E4" s="8" t="s">
        <v>73</v>
      </c>
      <c r="F4" s="10" t="s">
        <v>37</v>
      </c>
      <c r="G4" s="8" t="s">
        <v>29</v>
      </c>
      <c r="H4" s="21"/>
    </row>
    <row r="5">
      <c r="A5" s="19">
        <v>3.0</v>
      </c>
      <c r="B5" s="22">
        <f t="shared" si="1"/>
        <v>45777</v>
      </c>
      <c r="C5" s="8" t="s">
        <v>33</v>
      </c>
      <c r="D5" s="8" t="s">
        <v>25</v>
      </c>
      <c r="E5" s="8" t="s">
        <v>73</v>
      </c>
      <c r="F5" s="8" t="s">
        <v>41</v>
      </c>
      <c r="G5" s="8" t="s">
        <v>29</v>
      </c>
      <c r="H5" s="21"/>
    </row>
    <row r="6">
      <c r="A6" s="19">
        <v>4.0</v>
      </c>
      <c r="B6" s="22">
        <f t="shared" si="1"/>
        <v>45784</v>
      </c>
      <c r="C6" s="8" t="s">
        <v>25</v>
      </c>
      <c r="D6" s="8" t="s">
        <v>33</v>
      </c>
      <c r="E6" s="8" t="s">
        <v>73</v>
      </c>
      <c r="F6" s="8" t="s">
        <v>49</v>
      </c>
      <c r="G6" s="8" t="s">
        <v>29</v>
      </c>
      <c r="H6" s="21"/>
    </row>
    <row r="7">
      <c r="A7" s="19">
        <v>5.0</v>
      </c>
      <c r="B7" s="22">
        <f t="shared" si="1"/>
        <v>45791</v>
      </c>
      <c r="C7" s="8" t="s">
        <v>33</v>
      </c>
      <c r="D7" s="8" t="s">
        <v>25</v>
      </c>
      <c r="E7" s="8" t="s">
        <v>73</v>
      </c>
      <c r="F7" s="8" t="s">
        <v>53</v>
      </c>
      <c r="G7" s="8" t="s">
        <v>29</v>
      </c>
      <c r="H7" s="21"/>
    </row>
    <row r="8">
      <c r="A8" s="19">
        <v>6.0</v>
      </c>
      <c r="B8" s="22">
        <f t="shared" si="1"/>
        <v>45798</v>
      </c>
      <c r="C8" s="8" t="s">
        <v>25</v>
      </c>
      <c r="D8" s="8" t="s">
        <v>33</v>
      </c>
      <c r="E8" s="8" t="s">
        <v>73</v>
      </c>
      <c r="F8" s="8" t="s">
        <v>57</v>
      </c>
      <c r="G8" s="8" t="s">
        <v>29</v>
      </c>
      <c r="H8" s="21"/>
    </row>
    <row r="9">
      <c r="A9" s="19">
        <v>7.0</v>
      </c>
      <c r="B9" s="22">
        <f t="shared" si="1"/>
        <v>45805</v>
      </c>
      <c r="C9" s="8" t="s">
        <v>33</v>
      </c>
      <c r="D9" s="8" t="s">
        <v>25</v>
      </c>
      <c r="E9" s="8" t="s">
        <v>73</v>
      </c>
      <c r="F9" s="9" t="s">
        <v>61</v>
      </c>
      <c r="G9" s="8" t="s">
        <v>29</v>
      </c>
      <c r="H9" s="23" t="s">
        <v>75</v>
      </c>
    </row>
    <row r="10">
      <c r="A10" s="19">
        <v>8.0</v>
      </c>
      <c r="B10" s="22">
        <f t="shared" si="1"/>
        <v>45812</v>
      </c>
      <c r="C10" s="8" t="s">
        <v>25</v>
      </c>
      <c r="D10" s="8" t="s">
        <v>33</v>
      </c>
      <c r="E10" s="8" t="s">
        <v>73</v>
      </c>
      <c r="F10" s="10" t="s">
        <v>37</v>
      </c>
      <c r="G10" s="8" t="s">
        <v>29</v>
      </c>
      <c r="H10" s="21"/>
    </row>
    <row r="11">
      <c r="A11" s="19">
        <v>9.0</v>
      </c>
      <c r="B11" s="22">
        <f t="shared" si="1"/>
        <v>45819</v>
      </c>
      <c r="C11" s="8" t="s">
        <v>33</v>
      </c>
      <c r="D11" s="8" t="s">
        <v>25</v>
      </c>
      <c r="E11" s="8" t="s">
        <v>73</v>
      </c>
      <c r="F11" s="8" t="s">
        <v>41</v>
      </c>
      <c r="G11" s="8" t="s">
        <v>29</v>
      </c>
      <c r="H11" s="21"/>
    </row>
    <row r="12">
      <c r="A12" s="19">
        <v>10.0</v>
      </c>
      <c r="B12" s="22">
        <f t="shared" si="1"/>
        <v>45826</v>
      </c>
      <c r="C12" s="8" t="s">
        <v>25</v>
      </c>
      <c r="D12" s="8" t="s">
        <v>33</v>
      </c>
      <c r="E12" s="8" t="s">
        <v>73</v>
      </c>
      <c r="F12" s="8" t="s">
        <v>49</v>
      </c>
      <c r="G12" s="8" t="s">
        <v>29</v>
      </c>
      <c r="H12" s="21"/>
    </row>
    <row r="13">
      <c r="A13" s="19">
        <v>11.0</v>
      </c>
      <c r="B13" s="22">
        <f t="shared" si="1"/>
        <v>45833</v>
      </c>
      <c r="C13" s="8" t="s">
        <v>33</v>
      </c>
      <c r="D13" s="8" t="s">
        <v>25</v>
      </c>
      <c r="E13" s="8" t="s">
        <v>73</v>
      </c>
      <c r="F13" s="8" t="s">
        <v>53</v>
      </c>
      <c r="G13" s="8" t="s">
        <v>29</v>
      </c>
      <c r="H13" s="21"/>
    </row>
    <row r="14">
      <c r="A14" s="19">
        <v>12.0</v>
      </c>
      <c r="B14" s="22">
        <f t="shared" si="1"/>
        <v>45840</v>
      </c>
      <c r="C14" s="8" t="s">
        <v>25</v>
      </c>
      <c r="D14" s="8" t="s">
        <v>33</v>
      </c>
      <c r="E14" s="8" t="s">
        <v>73</v>
      </c>
      <c r="F14" s="8" t="s">
        <v>57</v>
      </c>
      <c r="G14" s="8" t="s">
        <v>29</v>
      </c>
      <c r="H14" s="21"/>
    </row>
    <row r="15">
      <c r="A15" s="19">
        <v>13.0</v>
      </c>
      <c r="B15" s="22">
        <f t="shared" si="1"/>
        <v>45847</v>
      </c>
      <c r="C15" s="8" t="s">
        <v>33</v>
      </c>
      <c r="D15" s="8" t="s">
        <v>25</v>
      </c>
      <c r="E15" s="8" t="s">
        <v>73</v>
      </c>
      <c r="F15" s="9" t="s">
        <v>61</v>
      </c>
      <c r="G15" s="8" t="s">
        <v>29</v>
      </c>
      <c r="H15" s="21"/>
    </row>
    <row r="16">
      <c r="A16" s="19">
        <v>14.0</v>
      </c>
      <c r="B16" s="22">
        <f t="shared" si="1"/>
        <v>45854</v>
      </c>
      <c r="C16" s="8" t="s">
        <v>25</v>
      </c>
      <c r="D16" s="8" t="s">
        <v>33</v>
      </c>
      <c r="E16" s="8" t="s">
        <v>73</v>
      </c>
      <c r="F16" s="10" t="s">
        <v>37</v>
      </c>
      <c r="G16" s="8" t="s">
        <v>29</v>
      </c>
      <c r="H16" s="23" t="s">
        <v>76</v>
      </c>
    </row>
    <row r="17">
      <c r="A17" s="19">
        <v>15.0</v>
      </c>
      <c r="B17" s="22">
        <f t="shared" si="1"/>
        <v>45861</v>
      </c>
      <c r="C17" s="8" t="s">
        <v>33</v>
      </c>
      <c r="D17" s="8" t="s">
        <v>25</v>
      </c>
      <c r="E17" s="8" t="s">
        <v>73</v>
      </c>
      <c r="F17" s="8" t="s">
        <v>41</v>
      </c>
      <c r="G17" s="8" t="s">
        <v>29</v>
      </c>
      <c r="H17" s="23" t="s">
        <v>77</v>
      </c>
    </row>
    <row r="18">
      <c r="A18" s="19"/>
      <c r="B18" s="24"/>
      <c r="C18" s="14"/>
      <c r="D18" s="14"/>
      <c r="E18" s="14"/>
      <c r="F18" s="14"/>
      <c r="G18" s="14"/>
      <c r="H18" s="25"/>
    </row>
    <row r="19">
      <c r="A19" s="23" t="s">
        <v>78</v>
      </c>
      <c r="B19" s="26"/>
      <c r="C19" s="27"/>
      <c r="D19" s="27"/>
      <c r="E19" s="27"/>
      <c r="F19" s="27"/>
      <c r="G19" s="27"/>
      <c r="H19" s="25"/>
    </row>
    <row r="20">
      <c r="A20" s="27"/>
      <c r="B20" s="24"/>
      <c r="C20" s="14"/>
      <c r="D20" s="14"/>
      <c r="E20" s="14"/>
      <c r="F20" s="14"/>
      <c r="G20" s="14"/>
      <c r="H20" s="25"/>
    </row>
    <row r="21">
      <c r="A21" s="19"/>
      <c r="B21" s="24"/>
      <c r="C21" s="14"/>
      <c r="D21" s="14"/>
      <c r="E21" s="14"/>
      <c r="F21" s="14"/>
      <c r="G21" s="14"/>
      <c r="H21" s="25"/>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79</v>
      </c>
      <c r="B1" s="29" t="s">
        <v>80</v>
      </c>
    </row>
    <row r="2">
      <c r="A2" s="28"/>
      <c r="B2" s="29" t="s">
        <v>81</v>
      </c>
    </row>
    <row r="3">
      <c r="A3" s="28"/>
      <c r="B3" s="29" t="s">
        <v>82</v>
      </c>
    </row>
    <row r="4">
      <c r="A4" s="28"/>
      <c r="B4" s="29" t="s">
        <v>83</v>
      </c>
    </row>
    <row r="5">
      <c r="A5" s="28"/>
      <c r="B5" s="29" t="s">
        <v>84</v>
      </c>
    </row>
    <row r="6">
      <c r="A6" s="30"/>
      <c r="B6" s="31"/>
    </row>
    <row r="7">
      <c r="A7" s="32" t="s">
        <v>85</v>
      </c>
      <c r="B7" s="29" t="s">
        <v>86</v>
      </c>
    </row>
    <row r="8">
      <c r="A8" s="32"/>
      <c r="B8" s="29" t="s">
        <v>87</v>
      </c>
    </row>
    <row r="9">
      <c r="A9" s="32"/>
      <c r="B9" s="29" t="s">
        <v>88</v>
      </c>
    </row>
    <row r="10">
      <c r="A10" s="32"/>
      <c r="B10" s="29" t="s">
        <v>89</v>
      </c>
    </row>
    <row r="11">
      <c r="A11" s="32"/>
      <c r="B11" s="29" t="s">
        <v>90</v>
      </c>
    </row>
    <row r="12">
      <c r="A12" s="32"/>
      <c r="B12" s="29" t="s">
        <v>91</v>
      </c>
    </row>
    <row r="13">
      <c r="A13" s="30"/>
      <c r="B13" s="31"/>
    </row>
    <row r="14">
      <c r="A14" s="32" t="s">
        <v>92</v>
      </c>
      <c r="B14" s="29" t="s">
        <v>93</v>
      </c>
    </row>
    <row r="15">
      <c r="A15" s="32"/>
      <c r="B15" s="29" t="s">
        <v>94</v>
      </c>
    </row>
    <row r="16">
      <c r="A16" s="32"/>
      <c r="B16" s="29" t="s">
        <v>95</v>
      </c>
    </row>
    <row r="17">
      <c r="A17" s="32"/>
      <c r="B17" s="29" t="s">
        <v>96</v>
      </c>
    </row>
    <row r="18">
      <c r="A18" s="30"/>
      <c r="B18" s="31"/>
    </row>
    <row r="19">
      <c r="A19" s="32" t="s">
        <v>97</v>
      </c>
      <c r="B19" s="29" t="s">
        <v>98</v>
      </c>
    </row>
    <row r="20">
      <c r="A20" s="32"/>
      <c r="B20" s="29" t="s">
        <v>99</v>
      </c>
    </row>
    <row r="21">
      <c r="A21" s="30"/>
      <c r="B21" s="31"/>
    </row>
    <row r="22">
      <c r="A22" s="32" t="s">
        <v>100</v>
      </c>
      <c r="B22" s="29" t="s">
        <v>101</v>
      </c>
    </row>
    <row r="23">
      <c r="A23" s="32"/>
      <c r="B23" s="29" t="s">
        <v>102</v>
      </c>
    </row>
    <row r="24">
      <c r="A24" s="32"/>
      <c r="B24" s="29" t="s">
        <v>103</v>
      </c>
    </row>
    <row r="25">
      <c r="A25" s="32"/>
      <c r="B25" s="29" t="s">
        <v>104</v>
      </c>
    </row>
    <row r="26">
      <c r="A26" s="32"/>
      <c r="B26" s="29" t="s">
        <v>105</v>
      </c>
    </row>
    <row r="27">
      <c r="A27" s="30"/>
      <c r="B27" s="31"/>
    </row>
    <row r="28">
      <c r="A28" s="32" t="s">
        <v>106</v>
      </c>
      <c r="B28" s="29" t="s">
        <v>107</v>
      </c>
    </row>
    <row r="29">
      <c r="A29" s="32"/>
      <c r="B29" s="29" t="s">
        <v>108</v>
      </c>
    </row>
    <row r="30">
      <c r="A30" s="31"/>
      <c r="B30" s="31"/>
    </row>
    <row r="31">
      <c r="A31" s="32" t="s">
        <v>109</v>
      </c>
      <c r="B31" s="29" t="s">
        <v>110</v>
      </c>
    </row>
    <row r="32">
      <c r="A32" s="32"/>
      <c r="B32" s="29" t="s">
        <v>111</v>
      </c>
    </row>
    <row r="33">
      <c r="A33" s="32"/>
      <c r="B33" s="29" t="s">
        <v>112</v>
      </c>
    </row>
    <row r="34">
      <c r="A34" s="31"/>
      <c r="B34" s="31"/>
    </row>
    <row r="35">
      <c r="A35" s="33" t="s">
        <v>113</v>
      </c>
      <c r="B35" s="29" t="s">
        <v>114</v>
      </c>
    </row>
    <row r="36">
      <c r="A36" s="31"/>
      <c r="B36" s="31"/>
    </row>
    <row r="37">
      <c r="A37" s="33" t="s">
        <v>115</v>
      </c>
      <c r="B37" s="29" t="s">
        <v>116</v>
      </c>
    </row>
    <row r="38">
      <c r="A38" s="31"/>
      <c r="B38" s="31"/>
    </row>
    <row r="39">
      <c r="A39" s="32" t="s">
        <v>117</v>
      </c>
      <c r="B39" s="33"/>
    </row>
    <row r="41">
      <c r="A41" s="34" t="s">
        <v>71</v>
      </c>
      <c r="B41" s="9" t="s">
        <v>118</v>
      </c>
    </row>
    <row r="42">
      <c r="A42" s="34" t="s">
        <v>119</v>
      </c>
      <c r="B42" s="9" t="s">
        <v>120</v>
      </c>
    </row>
    <row r="43">
      <c r="A43" s="34" t="s">
        <v>119</v>
      </c>
      <c r="B43" s="9" t="s">
        <v>121</v>
      </c>
    </row>
    <row r="44">
      <c r="A44" s="34" t="s">
        <v>122</v>
      </c>
      <c r="B44" s="9" t="s">
        <v>123</v>
      </c>
    </row>
    <row r="45">
      <c r="A45" s="34" t="s">
        <v>122</v>
      </c>
      <c r="B45" s="9" t="s">
        <v>124</v>
      </c>
    </row>
    <row r="46">
      <c r="A46" s="34" t="s">
        <v>122</v>
      </c>
      <c r="B46" s="9" t="s">
        <v>125</v>
      </c>
    </row>
    <row r="47">
      <c r="A47" s="34" t="s">
        <v>122</v>
      </c>
      <c r="B47" s="9" t="s">
        <v>126</v>
      </c>
    </row>
    <row r="48">
      <c r="A48" s="34" t="s">
        <v>122</v>
      </c>
      <c r="B48" s="9" t="s">
        <v>127</v>
      </c>
    </row>
    <row r="49">
      <c r="A49" s="34" t="s">
        <v>122</v>
      </c>
      <c r="B49" s="9" t="s">
        <v>128</v>
      </c>
    </row>
    <row r="50">
      <c r="A50" s="9" t="s">
        <v>122</v>
      </c>
      <c r="B50" s="9" t="s">
        <v>129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5" t="s">
        <v>130</v>
      </c>
      <c r="B1" s="35" t="s">
        <v>131</v>
      </c>
    </row>
    <row r="2">
      <c r="A2" s="36"/>
      <c r="B2" s="37"/>
    </row>
    <row r="3">
      <c r="A3" s="38" t="s">
        <v>132</v>
      </c>
      <c r="B3" s="38" t="s">
        <v>133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9" t="s">
        <v>134</v>
      </c>
      <c r="B1" s="39" t="s">
        <v>135</v>
      </c>
    </row>
    <row r="2">
      <c r="A2" s="5" t="s">
        <v>136</v>
      </c>
      <c r="B2" s="5" t="s">
        <v>137</v>
      </c>
    </row>
    <row r="3">
      <c r="A3" s="5" t="s">
        <v>138</v>
      </c>
      <c r="B3" s="5" t="s">
        <v>139</v>
      </c>
    </row>
    <row r="4">
      <c r="A4" s="5" t="s">
        <v>140</v>
      </c>
      <c r="B4" s="5" t="s">
        <v>141</v>
      </c>
    </row>
    <row r="5">
      <c r="A5" s="5" t="s">
        <v>142</v>
      </c>
      <c r="B5" s="5" t="s">
        <v>143</v>
      </c>
    </row>
    <row r="6">
      <c r="A6" s="5" t="s">
        <v>144</v>
      </c>
      <c r="B6" s="5" t="s">
        <v>145</v>
      </c>
    </row>
    <row r="7">
      <c r="A7" s="5" t="s">
        <v>146</v>
      </c>
      <c r="B7" s="5" t="s">
        <v>147</v>
      </c>
    </row>
    <row r="8">
      <c r="A8" s="5" t="s">
        <v>148</v>
      </c>
      <c r="B8" s="5" t="s">
        <v>149</v>
      </c>
    </row>
    <row r="9">
      <c r="A9" s="5" t="s">
        <v>150</v>
      </c>
      <c r="B9" s="5" t="s">
        <v>151</v>
      </c>
    </row>
    <row r="10">
      <c r="A10" s="5" t="s">
        <v>152</v>
      </c>
      <c r="B10" s="5" t="s">
        <v>153</v>
      </c>
    </row>
    <row r="11">
      <c r="A11" s="9" t="s">
        <v>154</v>
      </c>
      <c r="B11" s="9" t="s">
        <v>155</v>
      </c>
    </row>
    <row r="12">
      <c r="A12" s="5" t="s">
        <v>156</v>
      </c>
      <c r="B12" s="5" t="s">
        <v>157</v>
      </c>
    </row>
    <row r="13">
      <c r="A13" s="5" t="s">
        <v>158</v>
      </c>
      <c r="B13" s="5" t="s">
        <v>159</v>
      </c>
    </row>
    <row r="14">
      <c r="A14" s="2"/>
      <c r="B14" s="2"/>
    </row>
    <row r="15">
      <c r="A15" s="2"/>
      <c r="B15" s="2"/>
    </row>
    <row r="16">
      <c r="A16" s="2"/>
      <c r="B16" s="2"/>
    </row>
    <row r="17">
      <c r="A17" s="2"/>
      <c r="B17" s="2"/>
    </row>
    <row r="18">
      <c r="A18" s="2"/>
      <c r="B18" s="2"/>
    </row>
    <row r="19">
      <c r="A19" s="2"/>
      <c r="B19" s="2"/>
    </row>
    <row r="20">
      <c r="A20" s="2"/>
      <c r="B20" s="2"/>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0" t="s">
        <v>160</v>
      </c>
      <c r="B1" s="3" t="s">
        <v>161</v>
      </c>
    </row>
    <row r="2">
      <c r="A2" s="41">
        <v>1.0</v>
      </c>
      <c r="B2" s="5" t="s">
        <v>162</v>
      </c>
    </row>
    <row r="3">
      <c r="A3" s="41">
        <f t="shared" ref="A3:A16" si="1">A2+1</f>
        <v>2</v>
      </c>
      <c r="B3" s="5" t="s">
        <v>163</v>
      </c>
    </row>
    <row r="4">
      <c r="A4" s="41">
        <f t="shared" si="1"/>
        <v>3</v>
      </c>
      <c r="B4" s="5" t="s">
        <v>164</v>
      </c>
    </row>
    <row r="5">
      <c r="A5" s="41">
        <f t="shared" si="1"/>
        <v>4</v>
      </c>
      <c r="B5" s="9" t="s">
        <v>165</v>
      </c>
    </row>
    <row r="6">
      <c r="A6" s="41">
        <f t="shared" si="1"/>
        <v>5</v>
      </c>
      <c r="B6" s="5" t="s">
        <v>166</v>
      </c>
    </row>
    <row r="7">
      <c r="A7" s="41">
        <f t="shared" si="1"/>
        <v>6</v>
      </c>
      <c r="B7" s="5" t="s">
        <v>167</v>
      </c>
    </row>
    <row r="8">
      <c r="A8" s="41">
        <f t="shared" si="1"/>
        <v>7</v>
      </c>
      <c r="B8" s="5" t="s">
        <v>168</v>
      </c>
    </row>
    <row r="9">
      <c r="A9" s="41">
        <f t="shared" si="1"/>
        <v>8</v>
      </c>
      <c r="B9" s="5" t="s">
        <v>169</v>
      </c>
    </row>
    <row r="10">
      <c r="A10" s="41">
        <f t="shared" si="1"/>
        <v>9</v>
      </c>
      <c r="B10" s="5" t="s">
        <v>170</v>
      </c>
    </row>
    <row r="11">
      <c r="A11" s="41">
        <f t="shared" si="1"/>
        <v>10</v>
      </c>
      <c r="B11" s="5" t="s">
        <v>171</v>
      </c>
    </row>
    <row r="12">
      <c r="A12" s="41">
        <f t="shared" si="1"/>
        <v>11</v>
      </c>
      <c r="B12" s="5" t="s">
        <v>172</v>
      </c>
    </row>
    <row r="13">
      <c r="A13" s="41">
        <f t="shared" si="1"/>
        <v>12</v>
      </c>
      <c r="B13" s="5" t="s">
        <v>173</v>
      </c>
    </row>
    <row r="14">
      <c r="A14" s="41">
        <f t="shared" si="1"/>
        <v>13</v>
      </c>
      <c r="B14" s="5" t="s">
        <v>174</v>
      </c>
    </row>
    <row r="15">
      <c r="A15" s="41">
        <f t="shared" si="1"/>
        <v>14</v>
      </c>
      <c r="B15" s="2"/>
    </row>
    <row r="16">
      <c r="A16" s="41">
        <f t="shared" si="1"/>
        <v>15</v>
      </c>
      <c r="B16" s="2"/>
    </row>
    <row r="17">
      <c r="A17" s="41"/>
      <c r="B17" s="2"/>
    </row>
    <row r="18">
      <c r="A18" s="41"/>
      <c r="B18" s="2"/>
    </row>
    <row r="19">
      <c r="A19" s="42"/>
      <c r="B19" s="2"/>
    </row>
    <row r="20">
      <c r="A20" s="42"/>
      <c r="B20" s="2"/>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23.5"/>
    <col customWidth="1" min="3" max="3" width="16.38"/>
    <col customWidth="1" min="4" max="4" width="20.25"/>
  </cols>
  <sheetData>
    <row r="1">
      <c r="A1" s="40" t="s">
        <v>160</v>
      </c>
      <c r="B1" s="3" t="s">
        <v>175</v>
      </c>
      <c r="C1" s="3" t="s">
        <v>176</v>
      </c>
      <c r="D1" s="3" t="s">
        <v>177</v>
      </c>
    </row>
    <row r="2">
      <c r="A2" s="41">
        <v>1.0</v>
      </c>
      <c r="B2" s="5">
        <f>'Mid-Project Release plan'!F9</f>
        <v>3</v>
      </c>
      <c r="C2" s="36">
        <f>AVERAGE(B2:B16)</f>
        <v>27.54545455</v>
      </c>
      <c r="D2" s="37">
        <v>4.0</v>
      </c>
    </row>
    <row r="3">
      <c r="A3" s="41">
        <f t="shared" ref="A3:A14" si="1">A2+1</f>
        <v>2</v>
      </c>
      <c r="B3" s="5">
        <f>'Mid-Project Release plan'!F10</f>
        <v>15</v>
      </c>
      <c r="C3" s="2">
        <f>$C2</f>
        <v>27.54545455</v>
      </c>
      <c r="D3" s="5">
        <v>16.0</v>
      </c>
    </row>
    <row r="4">
      <c r="A4" s="41">
        <f t="shared" si="1"/>
        <v>3</v>
      </c>
      <c r="B4" s="5">
        <f>'Mid-Project Release plan'!F11</f>
        <v>24</v>
      </c>
      <c r="C4" s="2">
        <f>$C2</f>
        <v>27.54545455</v>
      </c>
      <c r="D4" s="5">
        <v>32.0</v>
      </c>
    </row>
    <row r="5">
      <c r="A5" s="41">
        <f t="shared" si="1"/>
        <v>4</v>
      </c>
      <c r="B5" s="5">
        <f>'Mid-Project Release plan'!F12</f>
        <v>51</v>
      </c>
      <c r="C5" s="2">
        <f>$C2</f>
        <v>27.54545455</v>
      </c>
      <c r="D5" s="5">
        <v>47.0</v>
      </c>
    </row>
    <row r="6">
      <c r="A6" s="41">
        <f t="shared" si="1"/>
        <v>5</v>
      </c>
      <c r="B6" s="5">
        <f>'Mid-Project Release plan'!F13</f>
        <v>18</v>
      </c>
      <c r="C6" s="2">
        <f>$C2</f>
        <v>27.54545455</v>
      </c>
      <c r="D6" s="5">
        <v>50.0</v>
      </c>
    </row>
    <row r="7">
      <c r="A7" s="41">
        <f t="shared" si="1"/>
        <v>6</v>
      </c>
      <c r="B7" s="5">
        <f>'Mid-Project Release plan'!F14</f>
        <v>40</v>
      </c>
      <c r="C7" s="2">
        <f>$C2</f>
        <v>27.54545455</v>
      </c>
      <c r="D7" s="5">
        <v>41.0</v>
      </c>
    </row>
    <row r="8">
      <c r="A8" s="41">
        <f t="shared" si="1"/>
        <v>7</v>
      </c>
      <c r="B8" s="5">
        <f>'Final Project Release plan'!F9</f>
        <v>49</v>
      </c>
      <c r="C8" s="2">
        <f>$C2</f>
        <v>27.54545455</v>
      </c>
      <c r="D8" s="5">
        <v>61.0</v>
      </c>
    </row>
    <row r="9">
      <c r="A9" s="41">
        <f t="shared" si="1"/>
        <v>8</v>
      </c>
      <c r="B9" s="5">
        <f>'Final Project Release plan'!F10</f>
        <v>12</v>
      </c>
      <c r="C9" s="43">
        <f>$C2</f>
        <v>27.54545455</v>
      </c>
      <c r="D9" s="44">
        <v>45.0</v>
      </c>
    </row>
    <row r="10">
      <c r="A10" s="41">
        <f t="shared" si="1"/>
        <v>9</v>
      </c>
      <c r="B10" s="5">
        <f>'Final Project Release plan'!F11</f>
        <v>28</v>
      </c>
      <c r="C10" s="45">
        <f>$C2</f>
        <v>27.54545455</v>
      </c>
      <c r="D10" s="46">
        <v>62.0</v>
      </c>
    </row>
    <row r="11">
      <c r="A11" s="41">
        <f t="shared" si="1"/>
        <v>10</v>
      </c>
      <c r="B11" s="5">
        <f>'Final Project Release plan'!F12</f>
        <v>34</v>
      </c>
      <c r="C11" s="43">
        <f>$C2</f>
        <v>27.54545455</v>
      </c>
      <c r="D11" s="44">
        <v>52.0</v>
      </c>
    </row>
    <row r="12">
      <c r="A12" s="41">
        <f t="shared" si="1"/>
        <v>11</v>
      </c>
      <c r="B12" s="5">
        <v>29.0</v>
      </c>
      <c r="C12" s="43">
        <f>$C2</f>
        <v>27.54545455</v>
      </c>
      <c r="D12" s="44">
        <v>40.0</v>
      </c>
    </row>
    <row r="13">
      <c r="A13" s="41">
        <f t="shared" si="1"/>
        <v>12</v>
      </c>
      <c r="B13" s="5"/>
      <c r="C13" s="45">
        <f>$C2</f>
        <v>27.54545455</v>
      </c>
      <c r="D13" s="46">
        <v>52.0</v>
      </c>
    </row>
    <row r="14">
      <c r="A14" s="41">
        <f t="shared" si="1"/>
        <v>13</v>
      </c>
      <c r="B14" s="5"/>
      <c r="C14" s="43">
        <f>$C2</f>
        <v>27.54545455</v>
      </c>
      <c r="D14" s="43"/>
    </row>
    <row r="15">
      <c r="A15" s="41"/>
      <c r="B15" s="2"/>
      <c r="C15" s="43"/>
      <c r="D15" s="43"/>
    </row>
    <row r="16">
      <c r="A16" s="41"/>
      <c r="B16" s="2"/>
      <c r="C16" s="45"/>
      <c r="D16" s="45"/>
    </row>
    <row r="17">
      <c r="A17" s="41"/>
      <c r="B17" s="2"/>
      <c r="C17" s="43"/>
      <c r="D17" s="43"/>
    </row>
    <row r="18">
      <c r="A18" s="41"/>
    </row>
    <row r="19">
      <c r="A19" s="40"/>
      <c r="C19" s="47"/>
      <c r="D19" s="47"/>
    </row>
    <row r="20">
      <c r="A20" s="42"/>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8" t="s">
        <v>178</v>
      </c>
      <c r="B1" s="49" t="s">
        <v>179</v>
      </c>
      <c r="C1" s="50" t="s">
        <v>180</v>
      </c>
      <c r="D1" s="51" t="s">
        <v>181</v>
      </c>
      <c r="E1" s="51" t="s">
        <v>182</v>
      </c>
      <c r="F1" s="51" t="s">
        <v>183</v>
      </c>
      <c r="G1" s="51" t="s">
        <v>184</v>
      </c>
    </row>
    <row r="2">
      <c r="A2" s="52"/>
      <c r="B2" s="53"/>
      <c r="C2" s="54"/>
      <c r="D2" s="54"/>
      <c r="E2" s="54"/>
      <c r="F2" s="54"/>
      <c r="G2" s="54"/>
    </row>
    <row r="3">
      <c r="A3" s="55" t="s">
        <v>185</v>
      </c>
      <c r="B3" s="56"/>
      <c r="C3" s="56"/>
      <c r="D3" s="57"/>
      <c r="E3" s="57"/>
      <c r="F3" s="57"/>
      <c r="G3" s="57"/>
    </row>
    <row r="4">
      <c r="A4" s="52"/>
      <c r="B4" s="53"/>
      <c r="C4" s="54"/>
      <c r="D4" s="54"/>
      <c r="E4" s="54"/>
      <c r="F4" s="54"/>
      <c r="G4" s="54"/>
    </row>
    <row r="5">
      <c r="A5" s="58" t="s">
        <v>186</v>
      </c>
      <c r="B5" s="59"/>
      <c r="C5" s="31"/>
      <c r="D5" s="60">
        <f>SUM(D8:D15)</f>
        <v>125</v>
      </c>
      <c r="E5" s="60">
        <f>D5</f>
        <v>125</v>
      </c>
      <c r="F5" s="31">
        <f>SUM(F8:F15)</f>
        <v>151</v>
      </c>
      <c r="G5" s="31">
        <f>F5</f>
        <v>151</v>
      </c>
    </row>
    <row r="6">
      <c r="A6" s="52"/>
      <c r="B6" s="53"/>
      <c r="C6" s="54"/>
      <c r="D6" s="54"/>
      <c r="E6" s="54"/>
      <c r="F6" s="54"/>
      <c r="G6" s="54"/>
    </row>
    <row r="7">
      <c r="A7" s="61" t="s">
        <v>187</v>
      </c>
      <c r="B7" s="62"/>
      <c r="C7" s="63"/>
      <c r="D7" s="63"/>
      <c r="E7" s="63"/>
      <c r="F7" s="63"/>
      <c r="G7" s="63"/>
    </row>
    <row r="8">
      <c r="A8" s="52"/>
      <c r="B8" s="53"/>
      <c r="C8" s="54"/>
      <c r="D8" s="54"/>
      <c r="E8" s="64" t="s">
        <v>188</v>
      </c>
      <c r="F8" s="54"/>
      <c r="G8" s="64" t="s">
        <v>189</v>
      </c>
    </row>
    <row r="9">
      <c r="A9" s="65">
        <v>1.0</v>
      </c>
      <c r="B9" s="66" t="str">
        <f>'Sprint Goals'!B2</f>
        <v>Get to know the team and understand the stakeholder's requirements</v>
      </c>
      <c r="C9" s="54"/>
      <c r="D9" s="67">
        <f>sum(D18:D22)</f>
        <v>3</v>
      </c>
      <c r="E9" s="67">
        <f>$D$5</f>
        <v>125</v>
      </c>
      <c r="F9" s="67">
        <f>sum(F18:F22)</f>
        <v>3</v>
      </c>
      <c r="G9" s="67">
        <f>$D$5</f>
        <v>125</v>
      </c>
    </row>
    <row r="10">
      <c r="A10" s="52">
        <f t="shared" ref="A10:A11" si="1">A9+1</f>
        <v>2</v>
      </c>
      <c r="B10" s="66" t="str">
        <f>'Sprint Goals'!B3</f>
        <v>Start scaffolding basic backend and frontend infrastructure and research domain-specific knowledge</v>
      </c>
      <c r="C10" s="54"/>
      <c r="D10" s="67">
        <f>sum(D23:D30)</f>
        <v>16</v>
      </c>
      <c r="E10" s="67">
        <f t="shared" ref="E10:E14" si="2">E9-D9</f>
        <v>122</v>
      </c>
      <c r="F10" s="67">
        <f>sum(F23:F30)</f>
        <v>15</v>
      </c>
      <c r="G10" s="67">
        <f t="shared" ref="G10:G14" si="3">G9-F9</f>
        <v>122</v>
      </c>
    </row>
    <row r="11">
      <c r="A11" s="65">
        <f t="shared" si="1"/>
        <v>3</v>
      </c>
      <c r="B11" s="66" t="str">
        <f>'Sprint Goals'!B4</f>
        <v>Set up unified development and production environment through containerization and tooling</v>
      </c>
      <c r="C11" s="54"/>
      <c r="D11" s="67">
        <f>sum(D32:D42)</f>
        <v>16</v>
      </c>
      <c r="E11" s="67">
        <f t="shared" si="2"/>
        <v>106</v>
      </c>
      <c r="F11" s="67">
        <f>sum(F32:F42)</f>
        <v>24</v>
      </c>
      <c r="G11" s="67">
        <f t="shared" si="3"/>
        <v>107</v>
      </c>
    </row>
    <row r="12">
      <c r="A12" s="68">
        <v>4.0</v>
      </c>
      <c r="B12" s="66" t="str">
        <f>'Sprint Goals'!B5</f>
        <v>Fix the issue of sensitive documents in the repository and enhance backend with endpoints and database connection</v>
      </c>
      <c r="C12" s="54"/>
      <c r="D12" s="54">
        <f>SUM(D44:D53)</f>
        <v>43</v>
      </c>
      <c r="E12" s="67">
        <f t="shared" si="2"/>
        <v>90</v>
      </c>
      <c r="F12" s="54">
        <f>SUM(F44:F53)</f>
        <v>51</v>
      </c>
      <c r="G12" s="67">
        <f t="shared" si="3"/>
        <v>83</v>
      </c>
    </row>
    <row r="13">
      <c r="A13" s="68">
        <v>5.0</v>
      </c>
      <c r="B13" s="66" t="str">
        <f>'Sprint Goals'!B6</f>
        <v>Extend and prepare components so they can be easily connected</v>
      </c>
      <c r="C13" s="54"/>
      <c r="D13" s="54">
        <f>SUM(D54:D58)</f>
        <v>15</v>
      </c>
      <c r="E13" s="67">
        <f t="shared" si="2"/>
        <v>47</v>
      </c>
      <c r="F13" s="54">
        <f>SUM(F54:F58)</f>
        <v>18</v>
      </c>
      <c r="G13" s="67">
        <f t="shared" si="3"/>
        <v>32</v>
      </c>
    </row>
    <row r="14">
      <c r="A14" s="68">
        <v>6.0</v>
      </c>
      <c r="B14" s="66" t="str">
        <f>'Sprint Goals'!B7</f>
        <v>Prepare mid-project release by binding frontend and backend together and finalizing container orchestration</v>
      </c>
      <c r="C14" s="54"/>
      <c r="D14" s="54">
        <f>SUM(D61:D77)</f>
        <v>32</v>
      </c>
      <c r="E14" s="67">
        <f t="shared" si="2"/>
        <v>32</v>
      </c>
      <c r="F14" s="54">
        <f>SUM(F61:F77)</f>
        <v>40</v>
      </c>
      <c r="G14" s="67">
        <f t="shared" si="3"/>
        <v>14</v>
      </c>
    </row>
    <row r="15">
      <c r="A15" s="65"/>
      <c r="B15" s="69"/>
      <c r="C15" s="54"/>
      <c r="D15" s="54"/>
      <c r="E15" s="54"/>
      <c r="F15" s="54"/>
      <c r="G15" s="54"/>
    </row>
    <row r="16">
      <c r="A16" s="70" t="s">
        <v>190</v>
      </c>
      <c r="B16" s="71"/>
      <c r="C16" s="72"/>
      <c r="D16" s="72"/>
      <c r="E16" s="72"/>
      <c r="F16" s="72"/>
      <c r="G16" s="72"/>
    </row>
    <row r="17">
      <c r="A17" s="65"/>
      <c r="B17" s="69"/>
      <c r="C17" s="54"/>
      <c r="D17" s="54"/>
      <c r="E17" s="54"/>
      <c r="F17" s="54"/>
      <c r="G17" s="54"/>
    </row>
    <row r="18">
      <c r="A18" s="73">
        <f t="shared" ref="A18:B18" si="4">A9</f>
        <v>1</v>
      </c>
      <c r="B18" s="74" t="str">
        <f t="shared" si="4"/>
        <v>Get to know the team and understand the stakeholder's requirements</v>
      </c>
      <c r="C18" s="31"/>
      <c r="D18" s="31"/>
      <c r="E18" s="31"/>
      <c r="F18" s="31"/>
      <c r="G18" s="31"/>
    </row>
    <row r="19">
      <c r="A19" s="65"/>
      <c r="B19" s="75"/>
      <c r="C19" s="29" t="s">
        <v>191</v>
      </c>
      <c r="D19" s="29">
        <v>1.0</v>
      </c>
      <c r="E19" s="29"/>
      <c r="F19" s="29">
        <v>1.0</v>
      </c>
      <c r="G19" s="29"/>
    </row>
    <row r="20">
      <c r="A20" s="52"/>
      <c r="B20" s="53"/>
      <c r="C20" s="76" t="s">
        <v>192</v>
      </c>
      <c r="D20" s="77">
        <v>1.0</v>
      </c>
      <c r="E20" s="29"/>
      <c r="F20" s="77">
        <v>1.0</v>
      </c>
      <c r="G20" s="29"/>
    </row>
    <row r="21">
      <c r="A21" s="65"/>
      <c r="B21" s="75"/>
      <c r="C21" s="29" t="s">
        <v>193</v>
      </c>
      <c r="D21" s="77">
        <v>1.0</v>
      </c>
      <c r="E21" s="29"/>
      <c r="F21" s="77">
        <v>1.0</v>
      </c>
      <c r="G21" s="29"/>
    </row>
    <row r="22">
      <c r="A22" s="65"/>
      <c r="B22" s="75"/>
      <c r="C22" s="36"/>
      <c r="D22" s="36"/>
      <c r="E22" s="36"/>
      <c r="F22" s="36"/>
      <c r="G22" s="75"/>
    </row>
    <row r="23">
      <c r="A23" s="73">
        <f t="shared" ref="A23:B23" si="5">A10</f>
        <v>2</v>
      </c>
      <c r="B23" s="74" t="str">
        <f t="shared" si="5"/>
        <v>Start scaffolding basic backend and frontend infrastructure and research domain-specific knowledge</v>
      </c>
      <c r="C23" s="31"/>
      <c r="D23" s="31"/>
      <c r="E23" s="31"/>
      <c r="F23" s="31"/>
      <c r="G23" s="31"/>
    </row>
    <row r="24">
      <c r="A24" s="65"/>
      <c r="B24" s="75"/>
      <c r="C24" s="76" t="s">
        <v>194</v>
      </c>
      <c r="D24" s="77">
        <v>1.0</v>
      </c>
      <c r="E24" s="29"/>
      <c r="F24" s="77">
        <v>1.0</v>
      </c>
      <c r="G24" s="29"/>
    </row>
    <row r="25">
      <c r="A25" s="65"/>
      <c r="B25" s="75"/>
      <c r="C25" s="76" t="s">
        <v>195</v>
      </c>
      <c r="D25" s="77">
        <v>2.0</v>
      </c>
      <c r="E25" s="29"/>
      <c r="F25" s="77">
        <v>2.0</v>
      </c>
      <c r="G25" s="29"/>
    </row>
    <row r="26">
      <c r="A26" s="65"/>
      <c r="B26" s="75"/>
      <c r="C26" s="29" t="s">
        <v>196</v>
      </c>
      <c r="D26" s="77">
        <v>3.0</v>
      </c>
      <c r="E26" s="29"/>
      <c r="F26" s="77">
        <v>3.0</v>
      </c>
      <c r="G26" s="29"/>
    </row>
    <row r="27">
      <c r="A27" s="65"/>
      <c r="B27" s="75"/>
      <c r="C27" s="76" t="s">
        <v>197</v>
      </c>
      <c r="D27" s="77">
        <v>3.0</v>
      </c>
      <c r="E27" s="29"/>
      <c r="F27" s="77">
        <v>2.0</v>
      </c>
      <c r="G27" s="29"/>
    </row>
    <row r="28">
      <c r="A28" s="65"/>
      <c r="B28" s="75"/>
      <c r="C28" s="76" t="s">
        <v>198</v>
      </c>
      <c r="D28" s="77">
        <v>3.0</v>
      </c>
      <c r="E28" s="29"/>
      <c r="F28" s="77">
        <v>3.0</v>
      </c>
      <c r="G28" s="29"/>
    </row>
    <row r="29">
      <c r="A29" s="65"/>
      <c r="B29" s="75"/>
      <c r="C29" s="76" t="s">
        <v>199</v>
      </c>
      <c r="D29" s="77">
        <v>2.0</v>
      </c>
      <c r="E29" s="29"/>
      <c r="F29" s="77">
        <v>2.0</v>
      </c>
      <c r="G29" s="29"/>
    </row>
    <row r="30">
      <c r="A30" s="65"/>
      <c r="B30" s="75"/>
      <c r="C30" s="29" t="s">
        <v>200</v>
      </c>
      <c r="D30" s="77">
        <v>2.0</v>
      </c>
      <c r="E30" s="29"/>
      <c r="F30" s="77">
        <v>2.0</v>
      </c>
      <c r="G30" s="29"/>
    </row>
    <row r="31">
      <c r="A31" s="78"/>
      <c r="B31" s="79"/>
      <c r="C31" s="54"/>
      <c r="D31" s="54"/>
      <c r="E31" s="54"/>
      <c r="F31" s="54"/>
      <c r="G31" s="54"/>
    </row>
    <row r="32">
      <c r="A32" s="73">
        <f t="shared" ref="A32:B32" si="6">A11</f>
        <v>3</v>
      </c>
      <c r="B32" s="74" t="str">
        <f t="shared" si="6"/>
        <v>Set up unified development and production environment through containerization and tooling</v>
      </c>
      <c r="C32" s="31"/>
      <c r="D32" s="31"/>
      <c r="E32" s="31"/>
      <c r="F32" s="31"/>
      <c r="G32" s="31"/>
    </row>
    <row r="33">
      <c r="A33" s="65"/>
      <c r="B33" s="75"/>
      <c r="C33" s="29" t="s">
        <v>201</v>
      </c>
      <c r="D33" s="29">
        <v>2.0</v>
      </c>
      <c r="E33" s="29"/>
      <c r="F33" s="29">
        <v>3.0</v>
      </c>
      <c r="G33" s="29"/>
    </row>
    <row r="34">
      <c r="A34" s="65"/>
      <c r="B34" s="75"/>
      <c r="C34" s="29" t="s">
        <v>202</v>
      </c>
      <c r="D34" s="29">
        <v>2.0</v>
      </c>
      <c r="E34" s="29"/>
      <c r="F34" s="29">
        <v>2.0</v>
      </c>
      <c r="G34" s="29"/>
    </row>
    <row r="35">
      <c r="A35" s="65"/>
      <c r="B35" s="75"/>
      <c r="C35" s="29" t="s">
        <v>203</v>
      </c>
      <c r="D35" s="29">
        <v>2.0</v>
      </c>
      <c r="E35" s="29"/>
      <c r="F35" s="29">
        <v>2.0</v>
      </c>
      <c r="G35" s="29"/>
    </row>
    <row r="36">
      <c r="A36" s="65"/>
      <c r="B36" s="75"/>
      <c r="C36" s="29" t="s">
        <v>204</v>
      </c>
      <c r="D36" s="29">
        <v>1.0</v>
      </c>
      <c r="E36" s="29"/>
      <c r="F36" s="29">
        <v>1.0</v>
      </c>
      <c r="G36" s="29"/>
    </row>
    <row r="37">
      <c r="A37" s="65"/>
      <c r="B37" s="75"/>
      <c r="C37" s="76" t="s">
        <v>205</v>
      </c>
      <c r="D37" s="77">
        <v>2.0</v>
      </c>
      <c r="E37" s="29"/>
      <c r="F37" s="76">
        <v>2.0</v>
      </c>
      <c r="G37" s="29"/>
    </row>
    <row r="38">
      <c r="A38" s="65"/>
      <c r="B38" s="75"/>
      <c r="C38" s="76" t="s">
        <v>206</v>
      </c>
      <c r="D38" s="77">
        <v>2.0</v>
      </c>
      <c r="E38" s="29"/>
      <c r="F38" s="76">
        <v>3.0</v>
      </c>
      <c r="G38" s="29"/>
    </row>
    <row r="39">
      <c r="A39" s="65"/>
      <c r="B39" s="75"/>
      <c r="C39" s="76" t="s">
        <v>207</v>
      </c>
      <c r="D39" s="77">
        <v>1.0</v>
      </c>
      <c r="E39" s="29"/>
      <c r="F39" s="76">
        <v>1.0</v>
      </c>
      <c r="G39" s="29"/>
    </row>
    <row r="40">
      <c r="A40" s="65"/>
      <c r="B40" s="75"/>
      <c r="C40" s="76" t="s">
        <v>208</v>
      </c>
      <c r="D40" s="77">
        <v>1.0</v>
      </c>
      <c r="E40" s="29"/>
      <c r="F40" s="76">
        <v>2.0</v>
      </c>
      <c r="G40" s="29"/>
    </row>
    <row r="41">
      <c r="A41" s="65"/>
      <c r="B41" s="75"/>
      <c r="C41" s="76" t="s">
        <v>209</v>
      </c>
      <c r="D41" s="77">
        <v>3.0</v>
      </c>
      <c r="E41" s="29"/>
      <c r="F41" s="76">
        <v>8.0</v>
      </c>
      <c r="G41" s="29"/>
    </row>
    <row r="42">
      <c r="A42" s="65"/>
      <c r="B42" s="75"/>
      <c r="C42" s="75"/>
      <c r="D42" s="67"/>
      <c r="E42" s="75"/>
      <c r="F42" s="75"/>
      <c r="G42" s="75"/>
    </row>
    <row r="43">
      <c r="A43" s="80">
        <v>4.0</v>
      </c>
      <c r="B43" s="74" t="str">
        <f>B12</f>
        <v>Fix the issue of sensitive documents in the repository and enhance backend with endpoints and database connection</v>
      </c>
      <c r="C43" s="31"/>
      <c r="D43" s="60"/>
      <c r="E43" s="31"/>
      <c r="F43" s="31"/>
      <c r="G43" s="31"/>
    </row>
    <row r="44">
      <c r="A44" s="68"/>
      <c r="B44" s="75"/>
      <c r="C44" s="29" t="s">
        <v>210</v>
      </c>
      <c r="D44" s="77">
        <v>5.0</v>
      </c>
      <c r="E44" s="76"/>
      <c r="F44" s="76">
        <v>5.0</v>
      </c>
      <c r="G44" s="75"/>
    </row>
    <row r="45">
      <c r="A45" s="36"/>
      <c r="B45" s="36"/>
      <c r="C45" s="37" t="s">
        <v>211</v>
      </c>
      <c r="D45" s="77">
        <v>8.0</v>
      </c>
      <c r="E45" s="76"/>
      <c r="F45" s="76">
        <v>8.0</v>
      </c>
      <c r="G45" s="29"/>
    </row>
    <row r="46">
      <c r="A46" s="36"/>
      <c r="B46" s="36"/>
      <c r="C46" s="37" t="s">
        <v>212</v>
      </c>
      <c r="D46" s="77">
        <v>5.0</v>
      </c>
      <c r="E46" s="29"/>
      <c r="F46" s="29">
        <v>8.0</v>
      </c>
      <c r="G46" s="29"/>
    </row>
    <row r="47">
      <c r="A47" s="36"/>
      <c r="B47" s="36"/>
      <c r="C47" s="37" t="s">
        <v>213</v>
      </c>
      <c r="D47" s="77">
        <v>5.0</v>
      </c>
      <c r="E47" s="29"/>
      <c r="F47" s="29">
        <v>8.0</v>
      </c>
      <c r="G47" s="29"/>
    </row>
    <row r="48">
      <c r="A48" s="36"/>
      <c r="B48" s="36"/>
      <c r="C48" s="37" t="s">
        <v>214</v>
      </c>
      <c r="D48" s="29">
        <v>3.0</v>
      </c>
      <c r="E48" s="29"/>
      <c r="F48" s="29">
        <v>5.0</v>
      </c>
      <c r="G48" s="29"/>
    </row>
    <row r="49">
      <c r="A49" s="36"/>
      <c r="B49" s="36"/>
      <c r="C49" s="37" t="s">
        <v>215</v>
      </c>
      <c r="D49" s="29">
        <v>5.0</v>
      </c>
      <c r="E49" s="29"/>
      <c r="F49" s="29">
        <v>8.0</v>
      </c>
      <c r="G49" s="29"/>
    </row>
    <row r="50">
      <c r="A50" s="36"/>
      <c r="B50" s="36"/>
      <c r="C50" s="37" t="s">
        <v>216</v>
      </c>
      <c r="D50" s="29">
        <v>3.0</v>
      </c>
      <c r="E50" s="29"/>
      <c r="F50" s="29">
        <v>3.0</v>
      </c>
      <c r="G50" s="29"/>
    </row>
    <row r="51">
      <c r="A51" s="36"/>
      <c r="B51" s="36"/>
      <c r="C51" s="37" t="s">
        <v>217</v>
      </c>
      <c r="D51" s="29">
        <v>8.0</v>
      </c>
      <c r="E51" s="29"/>
      <c r="F51" s="29">
        <v>5.0</v>
      </c>
      <c r="G51" s="29"/>
    </row>
    <row r="52">
      <c r="A52" s="36"/>
      <c r="B52" s="36"/>
      <c r="C52" s="37" t="s">
        <v>218</v>
      </c>
      <c r="D52" s="29">
        <v>1.0</v>
      </c>
      <c r="E52" s="29"/>
      <c r="F52" s="29">
        <v>1.0</v>
      </c>
      <c r="G52" s="29"/>
    </row>
    <row r="53">
      <c r="A53" s="36"/>
      <c r="B53" s="36"/>
      <c r="C53" s="37"/>
      <c r="D53" s="54"/>
      <c r="E53" s="54"/>
      <c r="F53" s="54"/>
      <c r="G53" s="54"/>
    </row>
    <row r="54">
      <c r="A54" s="80">
        <v>5.0</v>
      </c>
      <c r="B54" s="74" t="str">
        <f>B13</f>
        <v>Extend and prepare components so they can be easily connected</v>
      </c>
      <c r="C54" s="31"/>
      <c r="D54" s="31"/>
      <c r="E54" s="31"/>
      <c r="F54" s="31"/>
      <c r="G54" s="31"/>
    </row>
    <row r="55">
      <c r="A55" s="68"/>
      <c r="B55" s="75"/>
      <c r="C55" s="81" t="s">
        <v>219</v>
      </c>
      <c r="D55" s="29">
        <v>2.0</v>
      </c>
      <c r="E55" s="54"/>
      <c r="F55" s="29">
        <v>5.0</v>
      </c>
      <c r="G55" s="54"/>
    </row>
    <row r="56">
      <c r="A56" s="36"/>
      <c r="B56" s="36"/>
      <c r="C56" s="29" t="s">
        <v>220</v>
      </c>
      <c r="D56" s="29">
        <v>5.0</v>
      </c>
      <c r="E56" s="54"/>
      <c r="F56" s="29">
        <v>5.0</v>
      </c>
      <c r="G56" s="54"/>
    </row>
    <row r="57">
      <c r="A57" s="65"/>
      <c r="B57" s="75"/>
      <c r="C57" s="29" t="s">
        <v>221</v>
      </c>
      <c r="D57" s="29">
        <v>5.0</v>
      </c>
      <c r="E57" s="54"/>
      <c r="F57" s="29">
        <v>5.0</v>
      </c>
      <c r="G57" s="54"/>
    </row>
    <row r="58">
      <c r="A58" s="65"/>
      <c r="B58" s="75"/>
      <c r="C58" s="29" t="s">
        <v>222</v>
      </c>
      <c r="D58" s="29">
        <v>3.0</v>
      </c>
      <c r="E58" s="54"/>
      <c r="F58" s="29">
        <v>3.0</v>
      </c>
      <c r="G58" s="54"/>
    </row>
    <row r="59">
      <c r="A59" s="65"/>
      <c r="B59" s="75"/>
      <c r="C59" s="36"/>
      <c r="D59" s="36"/>
      <c r="E59" s="36"/>
      <c r="F59" s="36"/>
      <c r="G59" s="54"/>
    </row>
    <row r="60">
      <c r="A60" s="80">
        <v>6.0</v>
      </c>
      <c r="B60" s="82" t="str">
        <f>B14</f>
        <v>Prepare mid-project release by binding frontend and backend together and finalizing container orchestration</v>
      </c>
      <c r="C60" s="83"/>
      <c r="D60" s="31"/>
      <c r="E60" s="31"/>
      <c r="F60" s="31"/>
      <c r="G60" s="31"/>
    </row>
    <row r="61">
      <c r="A61" s="65"/>
      <c r="B61" s="75"/>
      <c r="C61" s="29" t="s">
        <v>223</v>
      </c>
      <c r="D61" s="29">
        <v>3.0</v>
      </c>
      <c r="E61" s="54"/>
      <c r="F61" s="29">
        <v>3.0</v>
      </c>
      <c r="G61" s="54"/>
    </row>
    <row r="62">
      <c r="A62" s="65"/>
      <c r="B62" s="75"/>
      <c r="C62" s="29" t="s">
        <v>224</v>
      </c>
      <c r="D62" s="29">
        <v>3.0</v>
      </c>
      <c r="E62" s="54"/>
      <c r="F62" s="29">
        <v>3.0</v>
      </c>
      <c r="G62" s="54"/>
    </row>
    <row r="63">
      <c r="A63" s="65"/>
      <c r="B63" s="75"/>
      <c r="C63" s="29" t="s">
        <v>225</v>
      </c>
      <c r="D63" s="29">
        <v>5.0</v>
      </c>
      <c r="E63" s="54"/>
      <c r="F63" s="29">
        <v>5.0</v>
      </c>
      <c r="G63" s="54"/>
    </row>
    <row r="64">
      <c r="A64" s="65"/>
      <c r="B64" s="75"/>
      <c r="C64" s="29" t="s">
        <v>226</v>
      </c>
      <c r="D64" s="29">
        <v>8.0</v>
      </c>
      <c r="E64" s="54"/>
      <c r="F64" s="29">
        <v>8.0</v>
      </c>
      <c r="G64" s="54"/>
    </row>
    <row r="65">
      <c r="A65" s="65"/>
      <c r="B65" s="75"/>
      <c r="C65" s="29" t="s">
        <v>227</v>
      </c>
      <c r="D65" s="29">
        <v>8.0</v>
      </c>
      <c r="E65" s="54"/>
      <c r="F65" s="29">
        <v>8.0</v>
      </c>
      <c r="G65" s="54"/>
    </row>
    <row r="66">
      <c r="A66" s="65"/>
      <c r="B66" s="75"/>
      <c r="C66" s="29" t="s">
        <v>228</v>
      </c>
      <c r="D66" s="29">
        <v>5.0</v>
      </c>
      <c r="E66" s="54"/>
      <c r="F66" s="29">
        <v>13.0</v>
      </c>
      <c r="G66" s="54"/>
    </row>
    <row r="67">
      <c r="A67" s="65"/>
      <c r="B67" s="75"/>
      <c r="C67" s="36"/>
      <c r="D67" s="36"/>
      <c r="E67" s="36"/>
      <c r="F67" s="36"/>
      <c r="G67" s="5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13"/>
    <col customWidth="1" min="2" max="2" width="33.25"/>
    <col customWidth="1" min="3" max="3" width="75.88"/>
    <col customWidth="1" min="4" max="7" width="15.75"/>
  </cols>
  <sheetData>
    <row r="1">
      <c r="A1" s="48" t="s">
        <v>178</v>
      </c>
      <c r="B1" s="49" t="s">
        <v>179</v>
      </c>
      <c r="C1" s="50" t="s">
        <v>180</v>
      </c>
      <c r="D1" s="51" t="s">
        <v>181</v>
      </c>
      <c r="E1" s="51" t="s">
        <v>182</v>
      </c>
      <c r="F1" s="51" t="s">
        <v>183</v>
      </c>
      <c r="G1" s="51" t="s">
        <v>184</v>
      </c>
    </row>
    <row r="2">
      <c r="A2" s="52"/>
      <c r="B2" s="53"/>
      <c r="C2" s="54"/>
      <c r="D2" s="54"/>
      <c r="E2" s="54"/>
      <c r="F2" s="54"/>
      <c r="G2" s="54"/>
    </row>
    <row r="3">
      <c r="A3" s="55" t="s">
        <v>185</v>
      </c>
      <c r="B3" s="56"/>
      <c r="C3" s="56"/>
      <c r="D3" s="57"/>
      <c r="E3" s="57"/>
      <c r="F3" s="57"/>
      <c r="G3" s="57"/>
    </row>
    <row r="4">
      <c r="A4" s="52"/>
      <c r="B4" s="53"/>
      <c r="C4" s="54"/>
      <c r="D4" s="54"/>
      <c r="E4" s="54"/>
      <c r="F4" s="54"/>
      <c r="G4" s="54"/>
    </row>
    <row r="5">
      <c r="A5" s="58" t="s">
        <v>186</v>
      </c>
      <c r="B5" s="59"/>
      <c r="C5" s="31"/>
      <c r="D5" s="60">
        <f>SUM(D8:D16)</f>
        <v>192</v>
      </c>
      <c r="E5" s="60">
        <f>D5</f>
        <v>192</v>
      </c>
      <c r="F5" s="31">
        <f>SUM(F8:F16)</f>
        <v>161</v>
      </c>
      <c r="G5" s="31">
        <f>F5</f>
        <v>161</v>
      </c>
    </row>
    <row r="6">
      <c r="A6" s="52"/>
      <c r="B6" s="53"/>
      <c r="C6" s="54"/>
      <c r="D6" s="54"/>
      <c r="E6" s="54"/>
      <c r="F6" s="54"/>
      <c r="G6" s="54"/>
    </row>
    <row r="7">
      <c r="A7" s="61" t="s">
        <v>187</v>
      </c>
      <c r="B7" s="62"/>
      <c r="C7" s="63"/>
      <c r="D7" s="63"/>
      <c r="E7" s="63"/>
      <c r="F7" s="63"/>
      <c r="G7" s="63"/>
    </row>
    <row r="8">
      <c r="A8" s="52"/>
      <c r="B8" s="53"/>
      <c r="C8" s="54"/>
      <c r="D8" s="54"/>
      <c r="E8" s="64" t="s">
        <v>188</v>
      </c>
      <c r="F8" s="54"/>
      <c r="G8" s="64" t="s">
        <v>189</v>
      </c>
    </row>
    <row r="9">
      <c r="A9" s="68">
        <v>7.0</v>
      </c>
      <c r="B9" s="66" t="str">
        <f>'Sprint Goals'!B8</f>
        <v>Refactor and enhance frontend to improve application data flow</v>
      </c>
      <c r="C9" s="54"/>
      <c r="D9" s="67">
        <f>sum(D19:D30)</f>
        <v>35</v>
      </c>
      <c r="E9" s="67">
        <f>$D$5</f>
        <v>192</v>
      </c>
      <c r="F9" s="67">
        <f>sum(F19:F30)</f>
        <v>49</v>
      </c>
      <c r="G9" s="67">
        <f>$D$5</f>
        <v>192</v>
      </c>
    </row>
    <row r="10">
      <c r="A10" s="68">
        <v>8.0</v>
      </c>
      <c r="B10" s="66" t="str">
        <f>'Sprint Goals'!B9</f>
        <v>Initiate automatic Building detection and general code refactorings</v>
      </c>
      <c r="C10" s="54"/>
      <c r="D10" s="67">
        <f>sum(D31:D36)</f>
        <v>11</v>
      </c>
      <c r="E10" s="67">
        <f t="shared" ref="E10:E15" si="1">E9-D9</f>
        <v>157</v>
      </c>
      <c r="F10" s="67">
        <f>sum(F31:F36)</f>
        <v>12</v>
      </c>
      <c r="G10" s="67">
        <f t="shared" ref="G10:G15" si="2">G9-F9</f>
        <v>143</v>
      </c>
    </row>
    <row r="11">
      <c r="A11" s="68">
        <v>9.0</v>
      </c>
      <c r="B11" s="66" t="str">
        <f>'Sprint Goals'!B10</f>
        <v>Set up OCR and research Document Categories and work on Authentication</v>
      </c>
      <c r="C11" s="54"/>
      <c r="D11" s="67">
        <f>SUM(D37:D42)</f>
        <v>21</v>
      </c>
      <c r="E11" s="67">
        <f t="shared" si="1"/>
        <v>146</v>
      </c>
      <c r="F11" s="67">
        <f>SUM(F37:F42)</f>
        <v>28</v>
      </c>
      <c r="G11" s="67">
        <f t="shared" si="2"/>
        <v>131</v>
      </c>
    </row>
    <row r="12">
      <c r="A12" s="68">
        <v>10.0</v>
      </c>
      <c r="B12" s="66" t="str">
        <f>'Sprint Goals'!B11</f>
        <v>Enhance frontend based on workshop and Collect list of relevant information per document category</v>
      </c>
      <c r="C12" s="54"/>
      <c r="D12" s="54">
        <f>SUM(D43:D50)</f>
        <v>32</v>
      </c>
      <c r="E12" s="67">
        <f t="shared" si="1"/>
        <v>125</v>
      </c>
      <c r="F12" s="54">
        <f>SUM(F44:F50)</f>
        <v>34</v>
      </c>
      <c r="G12" s="67">
        <f t="shared" si="2"/>
        <v>103</v>
      </c>
    </row>
    <row r="13">
      <c r="A13" s="68">
        <v>11.0</v>
      </c>
      <c r="B13" s="66" t="str">
        <f>'Sprint Goals'!B12</f>
        <v>Auto-Extract and display information from Document based on Document Category</v>
      </c>
      <c r="C13" s="54"/>
      <c r="D13" s="54">
        <f>SUM(D52:D58)</f>
        <v>23</v>
      </c>
      <c r="E13" s="67">
        <f t="shared" si="1"/>
        <v>93</v>
      </c>
      <c r="F13" s="54">
        <f>SUM(F53:F74)</f>
        <v>38</v>
      </c>
      <c r="G13" s="67">
        <f t="shared" si="2"/>
        <v>69</v>
      </c>
    </row>
    <row r="14">
      <c r="A14" s="68">
        <v>12.0</v>
      </c>
      <c r="B14" s="66" t="str">
        <f>'Sprint Goals'!B13</f>
        <v>AI chatbot can answer questions based on database information</v>
      </c>
      <c r="C14" s="54"/>
      <c r="D14" s="54">
        <f>SUM(D63:D76)</f>
        <v>42</v>
      </c>
      <c r="E14" s="67">
        <f t="shared" si="1"/>
        <v>70</v>
      </c>
      <c r="F14" s="54">
        <f>SUM(F63:F76)</f>
        <v>0</v>
      </c>
      <c r="G14" s="67">
        <f t="shared" si="2"/>
        <v>31</v>
      </c>
    </row>
    <row r="15">
      <c r="A15" s="68">
        <v>13.0</v>
      </c>
      <c r="B15" s="66" t="str">
        <f>'Sprint Goals'!B14</f>
        <v>Prepare Demo Day and Project Hand-Over</v>
      </c>
      <c r="C15" s="54"/>
      <c r="D15" s="54">
        <f>SUM(D78:D88)</f>
        <v>28</v>
      </c>
      <c r="E15" s="67">
        <f t="shared" si="1"/>
        <v>28</v>
      </c>
      <c r="F15" s="54">
        <f>SUM(F78:F88)</f>
        <v>0</v>
      </c>
      <c r="G15" s="67">
        <f t="shared" si="2"/>
        <v>31</v>
      </c>
    </row>
    <row r="16">
      <c r="A16" s="65"/>
      <c r="B16" s="69"/>
      <c r="C16" s="54"/>
      <c r="D16" s="54"/>
      <c r="E16" s="54"/>
      <c r="F16" s="54"/>
      <c r="G16" s="54"/>
    </row>
    <row r="17">
      <c r="A17" s="70" t="s">
        <v>190</v>
      </c>
      <c r="B17" s="71"/>
      <c r="C17" s="72"/>
      <c r="D17" s="72"/>
      <c r="E17" s="72"/>
      <c r="F17" s="72"/>
      <c r="G17" s="72"/>
    </row>
    <row r="18">
      <c r="A18" s="65"/>
      <c r="B18" s="69"/>
      <c r="C18" s="54"/>
      <c r="D18" s="54"/>
      <c r="E18" s="54"/>
      <c r="F18" s="54"/>
      <c r="G18" s="54"/>
    </row>
    <row r="19">
      <c r="A19" s="73">
        <f t="shared" ref="A19:B19" si="3">A9</f>
        <v>7</v>
      </c>
      <c r="B19" s="74" t="str">
        <f t="shared" si="3"/>
        <v>Refactor and enhance frontend to improve application data flow</v>
      </c>
      <c r="C19" s="31"/>
      <c r="D19" s="31"/>
      <c r="E19" s="31"/>
      <c r="F19" s="31"/>
      <c r="G19" s="31"/>
    </row>
    <row r="20">
      <c r="A20" s="65"/>
      <c r="C20" s="29" t="s">
        <v>229</v>
      </c>
      <c r="D20" s="29">
        <v>3.0</v>
      </c>
      <c r="E20" s="29"/>
      <c r="F20" s="29">
        <v>3.0</v>
      </c>
      <c r="G20" s="29"/>
    </row>
    <row r="21">
      <c r="A21" s="65"/>
      <c r="B21" s="36"/>
      <c r="C21" s="29" t="s">
        <v>230</v>
      </c>
      <c r="D21" s="29">
        <v>2.0</v>
      </c>
      <c r="E21" s="29"/>
      <c r="F21" s="77">
        <v>2.0</v>
      </c>
      <c r="G21" s="29"/>
    </row>
    <row r="22">
      <c r="A22" s="65"/>
      <c r="B22" s="75"/>
      <c r="C22" s="29" t="s">
        <v>231</v>
      </c>
      <c r="D22" s="29">
        <v>8.0</v>
      </c>
      <c r="E22" s="54"/>
      <c r="F22" s="29">
        <v>13.0</v>
      </c>
      <c r="G22" s="75"/>
    </row>
    <row r="23">
      <c r="A23" s="65"/>
      <c r="B23" s="75"/>
      <c r="C23" s="29" t="s">
        <v>232</v>
      </c>
      <c r="D23" s="29">
        <v>3.0</v>
      </c>
      <c r="E23" s="54"/>
      <c r="F23" s="29">
        <v>5.0</v>
      </c>
      <c r="G23" s="75"/>
    </row>
    <row r="24">
      <c r="A24" s="65"/>
      <c r="B24" s="75"/>
      <c r="C24" s="29" t="s">
        <v>233</v>
      </c>
      <c r="D24" s="29">
        <v>3.0</v>
      </c>
      <c r="E24" s="54"/>
      <c r="F24" s="29">
        <v>3.0</v>
      </c>
      <c r="G24" s="75"/>
    </row>
    <row r="25">
      <c r="A25" s="65"/>
      <c r="B25" s="75"/>
      <c r="C25" s="29" t="s">
        <v>234</v>
      </c>
      <c r="D25" s="29">
        <v>3.0</v>
      </c>
      <c r="E25" s="54"/>
      <c r="F25" s="29">
        <v>3.0</v>
      </c>
      <c r="G25" s="75"/>
    </row>
    <row r="26">
      <c r="A26" s="65"/>
      <c r="B26" s="75"/>
      <c r="C26" s="29" t="s">
        <v>235</v>
      </c>
      <c r="D26" s="29">
        <v>2.0</v>
      </c>
      <c r="E26" s="54"/>
      <c r="F26" s="29">
        <v>2.0</v>
      </c>
      <c r="G26" s="75"/>
    </row>
    <row r="27">
      <c r="A27" s="65"/>
      <c r="B27" s="75"/>
      <c r="C27" s="29" t="s">
        <v>236</v>
      </c>
      <c r="D27" s="29">
        <v>5.0</v>
      </c>
      <c r="E27" s="54"/>
      <c r="F27" s="29">
        <v>5.0</v>
      </c>
      <c r="G27" s="75"/>
    </row>
    <row r="28">
      <c r="A28" s="65"/>
      <c r="B28" s="75"/>
      <c r="C28" s="29" t="s">
        <v>237</v>
      </c>
      <c r="D28" s="29">
        <v>3.0</v>
      </c>
      <c r="E28" s="54"/>
      <c r="F28" s="29">
        <v>5.0</v>
      </c>
      <c r="G28" s="75"/>
    </row>
    <row r="29">
      <c r="A29" s="65"/>
      <c r="B29" s="75"/>
      <c r="C29" s="29" t="s">
        <v>238</v>
      </c>
      <c r="D29" s="29">
        <v>3.0</v>
      </c>
      <c r="E29" s="54"/>
      <c r="F29" s="29">
        <v>8.0</v>
      </c>
      <c r="G29" s="75"/>
    </row>
    <row r="30">
      <c r="A30" s="84"/>
      <c r="B30" s="79"/>
      <c r="C30" s="54"/>
      <c r="D30" s="54"/>
      <c r="E30" s="54"/>
      <c r="F30" s="54"/>
      <c r="G30" s="54"/>
    </row>
    <row r="31">
      <c r="A31" s="73">
        <f t="shared" ref="A31:B31" si="4">A10</f>
        <v>8</v>
      </c>
      <c r="B31" s="74" t="str">
        <f t="shared" si="4"/>
        <v>Initiate automatic Building detection and general code refactorings</v>
      </c>
      <c r="C31" s="31"/>
      <c r="D31" s="31"/>
      <c r="E31" s="31"/>
      <c r="F31" s="31"/>
      <c r="G31" s="31"/>
    </row>
    <row r="32">
      <c r="A32" s="65"/>
      <c r="B32" s="75"/>
      <c r="C32" s="29" t="s">
        <v>239</v>
      </c>
      <c r="D32" s="29">
        <v>5.0</v>
      </c>
      <c r="E32" s="36"/>
      <c r="F32" s="37">
        <v>5.0</v>
      </c>
      <c r="G32" s="29"/>
    </row>
    <row r="33">
      <c r="A33" s="65"/>
      <c r="B33" s="75"/>
      <c r="C33" s="29" t="s">
        <v>240</v>
      </c>
      <c r="D33" s="29">
        <v>2.0</v>
      </c>
      <c r="E33" s="29"/>
      <c r="F33" s="77">
        <v>3.0</v>
      </c>
      <c r="G33" s="29"/>
    </row>
    <row r="34">
      <c r="A34" s="65"/>
      <c r="B34" s="75"/>
      <c r="C34" s="29" t="s">
        <v>241</v>
      </c>
      <c r="D34" s="29">
        <v>2.0</v>
      </c>
      <c r="E34" s="29"/>
      <c r="F34" s="77">
        <v>2.0</v>
      </c>
      <c r="G34" s="29"/>
    </row>
    <row r="35">
      <c r="A35" s="65"/>
      <c r="B35" s="75"/>
      <c r="C35" s="37" t="s">
        <v>242</v>
      </c>
      <c r="D35" s="37">
        <v>2.0</v>
      </c>
      <c r="E35" s="29"/>
      <c r="F35" s="77">
        <v>2.0</v>
      </c>
      <c r="G35" s="29"/>
    </row>
    <row r="36">
      <c r="A36" s="65"/>
      <c r="B36" s="75"/>
      <c r="E36" s="29"/>
      <c r="F36" s="77"/>
      <c r="G36" s="29"/>
    </row>
    <row r="37">
      <c r="A37" s="73">
        <f t="shared" ref="A37:B37" si="5">A11</f>
        <v>9</v>
      </c>
      <c r="B37" s="74" t="str">
        <f t="shared" si="5"/>
        <v>Set up OCR and research Document Categories and work on Authentication</v>
      </c>
      <c r="C37" s="31"/>
      <c r="D37" s="31"/>
      <c r="E37" s="31"/>
      <c r="F37" s="31"/>
      <c r="G37" s="31"/>
    </row>
    <row r="38">
      <c r="A38" s="65"/>
      <c r="B38" s="75"/>
      <c r="C38" s="76" t="s">
        <v>243</v>
      </c>
      <c r="D38" s="77">
        <v>5.0</v>
      </c>
      <c r="E38" s="29"/>
      <c r="F38" s="29">
        <v>13.0</v>
      </c>
      <c r="G38" s="29"/>
    </row>
    <row r="39">
      <c r="A39" s="65"/>
      <c r="B39" s="75"/>
      <c r="C39" s="29" t="s">
        <v>244</v>
      </c>
      <c r="D39" s="29">
        <v>5.0</v>
      </c>
      <c r="E39" s="29"/>
      <c r="F39" s="29">
        <v>5.0</v>
      </c>
      <c r="G39" s="29"/>
    </row>
    <row r="40">
      <c r="A40" s="65"/>
      <c r="B40" s="75"/>
      <c r="C40" s="37" t="s">
        <v>245</v>
      </c>
      <c r="D40" s="37">
        <v>3.0</v>
      </c>
      <c r="E40" s="29"/>
      <c r="F40" s="76">
        <v>2.0</v>
      </c>
      <c r="G40" s="29"/>
    </row>
    <row r="41">
      <c r="A41" s="65"/>
      <c r="B41" s="75"/>
      <c r="C41" s="76" t="s">
        <v>246</v>
      </c>
      <c r="D41" s="77">
        <v>8.0</v>
      </c>
      <c r="E41" s="29"/>
      <c r="F41" s="76">
        <v>8.0</v>
      </c>
      <c r="G41" s="29"/>
    </row>
    <row r="42">
      <c r="A42" s="65"/>
      <c r="B42" s="75"/>
      <c r="E42" s="29"/>
      <c r="F42" s="76"/>
      <c r="G42" s="29"/>
    </row>
    <row r="43">
      <c r="A43" s="80">
        <f t="shared" ref="A43:B43" si="6">A12</f>
        <v>10</v>
      </c>
      <c r="B43" s="74" t="str">
        <f t="shared" si="6"/>
        <v>Enhance frontend based on workshop and Collect list of relevant information per document category</v>
      </c>
      <c r="C43" s="83"/>
      <c r="D43" s="60"/>
      <c r="E43" s="31"/>
      <c r="F43" s="31"/>
      <c r="G43" s="31"/>
    </row>
    <row r="44">
      <c r="A44" s="68"/>
      <c r="B44" s="75"/>
      <c r="C44" s="29" t="s">
        <v>247</v>
      </c>
      <c r="D44" s="77">
        <v>8.0</v>
      </c>
      <c r="E44" s="76"/>
      <c r="F44" s="76">
        <v>8.0</v>
      </c>
      <c r="G44" s="75"/>
    </row>
    <row r="45">
      <c r="A45" s="36"/>
      <c r="B45" s="36"/>
      <c r="C45" s="29" t="s">
        <v>248</v>
      </c>
      <c r="D45" s="77">
        <v>5.0</v>
      </c>
      <c r="E45" s="29"/>
      <c r="F45" s="29">
        <v>8.0</v>
      </c>
      <c r="G45" s="29"/>
    </row>
    <row r="46">
      <c r="A46" s="36"/>
      <c r="B46" s="36"/>
      <c r="C46" s="29" t="s">
        <v>249</v>
      </c>
      <c r="D46" s="29">
        <v>3.0</v>
      </c>
      <c r="E46" s="29"/>
      <c r="F46" s="29">
        <v>5.0</v>
      </c>
      <c r="G46" s="29"/>
    </row>
    <row r="47">
      <c r="A47" s="36"/>
      <c r="B47" s="36"/>
      <c r="C47" s="76" t="s">
        <v>250</v>
      </c>
      <c r="D47" s="77">
        <v>8.0</v>
      </c>
      <c r="E47" s="29"/>
      <c r="F47" s="29">
        <v>5.0</v>
      </c>
      <c r="G47" s="29"/>
    </row>
    <row r="48">
      <c r="A48" s="36"/>
      <c r="B48" s="36"/>
      <c r="C48" s="76" t="s">
        <v>251</v>
      </c>
      <c r="D48" s="77">
        <v>5.0</v>
      </c>
      <c r="E48" s="54"/>
      <c r="F48" s="29">
        <v>5.0</v>
      </c>
      <c r="G48" s="54"/>
    </row>
    <row r="49">
      <c r="A49" s="36"/>
      <c r="B49" s="36"/>
      <c r="C49" s="29" t="s">
        <v>252</v>
      </c>
      <c r="D49" s="29">
        <v>3.0</v>
      </c>
      <c r="E49" s="54"/>
      <c r="F49" s="29">
        <v>3.0</v>
      </c>
      <c r="G49" s="54"/>
    </row>
    <row r="50">
      <c r="A50" s="36"/>
      <c r="B50" s="36"/>
      <c r="C50" s="36"/>
      <c r="D50" s="36"/>
      <c r="E50" s="54"/>
      <c r="F50" s="54"/>
      <c r="G50" s="54"/>
    </row>
    <row r="51">
      <c r="A51" s="80">
        <f t="shared" ref="A51:B51" si="7">A13</f>
        <v>11</v>
      </c>
      <c r="B51" s="74" t="str">
        <f t="shared" si="7"/>
        <v>Auto-Extract and display information from Document based on Document Category</v>
      </c>
      <c r="C51" s="31"/>
      <c r="D51" s="31"/>
      <c r="E51" s="31"/>
      <c r="F51" s="31"/>
      <c r="G51" s="31"/>
    </row>
    <row r="52">
      <c r="A52" s="85"/>
      <c r="B52" s="79"/>
      <c r="C52" s="37" t="s">
        <v>253</v>
      </c>
      <c r="D52" s="77">
        <v>3.0</v>
      </c>
      <c r="E52" s="54"/>
      <c r="F52" s="29">
        <v>5.0</v>
      </c>
      <c r="G52" s="54"/>
    </row>
    <row r="53">
      <c r="A53" s="36"/>
      <c r="B53" s="36"/>
      <c r="C53" s="29" t="s">
        <v>254</v>
      </c>
      <c r="D53" s="29">
        <v>3.0</v>
      </c>
      <c r="E53" s="54"/>
      <c r="F53" s="29">
        <v>3.0</v>
      </c>
      <c r="G53" s="54"/>
    </row>
    <row r="54">
      <c r="A54" s="65"/>
      <c r="B54" s="75"/>
      <c r="C54" s="29" t="s">
        <v>255</v>
      </c>
      <c r="D54" s="29">
        <v>5.0</v>
      </c>
      <c r="E54" s="54"/>
      <c r="F54" s="29">
        <v>5.0</v>
      </c>
      <c r="G54" s="54"/>
    </row>
    <row r="55">
      <c r="A55" s="65"/>
      <c r="B55" s="75"/>
      <c r="C55" s="37" t="s">
        <v>256</v>
      </c>
      <c r="D55" s="29">
        <v>3.0</v>
      </c>
      <c r="E55" s="54"/>
      <c r="F55" s="29">
        <v>5.0</v>
      </c>
      <c r="G55" s="54"/>
    </row>
    <row r="56">
      <c r="A56" s="65"/>
      <c r="B56" s="75"/>
      <c r="C56" s="37" t="s">
        <v>257</v>
      </c>
      <c r="D56" s="77">
        <v>5.0</v>
      </c>
      <c r="E56" s="54"/>
      <c r="F56" s="29">
        <v>8.0</v>
      </c>
      <c r="G56" s="54"/>
    </row>
    <row r="57">
      <c r="A57" s="65"/>
      <c r="B57" s="75"/>
      <c r="C57" s="86" t="s">
        <v>258</v>
      </c>
      <c r="D57" s="29">
        <v>1.0</v>
      </c>
      <c r="E57" s="54"/>
      <c r="F57" s="29">
        <v>1.0</v>
      </c>
      <c r="G57" s="54"/>
    </row>
    <row r="58">
      <c r="A58" s="65"/>
      <c r="B58" s="75"/>
      <c r="C58" s="29" t="s">
        <v>259</v>
      </c>
      <c r="D58" s="29">
        <v>3.0</v>
      </c>
      <c r="E58" s="54"/>
      <c r="F58" s="29">
        <v>8.0</v>
      </c>
      <c r="G58" s="54"/>
    </row>
    <row r="59">
      <c r="A59" s="65"/>
      <c r="B59" s="75"/>
      <c r="C59" s="37" t="s">
        <v>260</v>
      </c>
      <c r="D59" s="37">
        <v>3.0</v>
      </c>
      <c r="E59" s="29"/>
      <c r="F59" s="29">
        <v>5.0</v>
      </c>
      <c r="G59" s="54"/>
    </row>
    <row r="60">
      <c r="A60" s="65"/>
      <c r="B60" s="75"/>
      <c r="C60" s="37" t="s">
        <v>261</v>
      </c>
      <c r="D60" s="37">
        <v>3.0</v>
      </c>
      <c r="E60" s="29"/>
      <c r="F60" s="29">
        <v>3.0</v>
      </c>
      <c r="G60" s="54"/>
    </row>
    <row r="61">
      <c r="A61" s="65"/>
      <c r="B61" s="75"/>
      <c r="C61" s="36"/>
      <c r="D61" s="36"/>
      <c r="E61" s="36"/>
      <c r="F61" s="36"/>
      <c r="G61" s="54"/>
    </row>
    <row r="62">
      <c r="A62" s="80">
        <f t="shared" ref="A62:B62" si="8">A14</f>
        <v>12</v>
      </c>
      <c r="B62" s="82" t="str">
        <f t="shared" si="8"/>
        <v>AI chatbot can answer questions based on database information</v>
      </c>
      <c r="C62" s="83"/>
      <c r="D62" s="31"/>
      <c r="E62" s="31"/>
      <c r="F62" s="31"/>
      <c r="G62" s="31"/>
    </row>
    <row r="63">
      <c r="A63" s="65"/>
      <c r="B63" s="75"/>
      <c r="C63" s="37" t="s">
        <v>262</v>
      </c>
      <c r="D63" s="37">
        <v>8.0</v>
      </c>
      <c r="E63" s="54"/>
      <c r="F63" s="54"/>
      <c r="G63" s="54"/>
    </row>
    <row r="64">
      <c r="A64" s="65"/>
      <c r="B64" s="75"/>
      <c r="C64" s="29" t="s">
        <v>263</v>
      </c>
      <c r="D64" s="29">
        <v>3.0</v>
      </c>
      <c r="E64" s="54"/>
      <c r="F64" s="29"/>
      <c r="G64" s="54"/>
    </row>
    <row r="65">
      <c r="A65" s="65"/>
      <c r="B65" s="75"/>
      <c r="C65" s="29" t="s">
        <v>264</v>
      </c>
      <c r="D65" s="29">
        <v>5.0</v>
      </c>
      <c r="E65" s="29"/>
      <c r="F65" s="29"/>
      <c r="G65" s="54"/>
    </row>
    <row r="66">
      <c r="A66" s="65"/>
      <c r="B66" s="75"/>
      <c r="C66" s="9" t="s">
        <v>265</v>
      </c>
      <c r="D66" s="9">
        <v>3.0</v>
      </c>
      <c r="E66" s="29"/>
      <c r="F66" s="29"/>
      <c r="G66" s="54"/>
    </row>
    <row r="67">
      <c r="A67" s="65"/>
      <c r="B67" s="75"/>
      <c r="C67" s="37" t="s">
        <v>266</v>
      </c>
      <c r="D67" s="37">
        <v>3.0</v>
      </c>
      <c r="E67" s="29"/>
      <c r="F67" s="54"/>
      <c r="G67" s="54"/>
    </row>
    <row r="68">
      <c r="A68" s="65"/>
      <c r="B68" s="75"/>
      <c r="C68" s="29" t="s">
        <v>267</v>
      </c>
      <c r="D68" s="29">
        <v>3.0</v>
      </c>
      <c r="E68" s="29"/>
      <c r="F68" s="54"/>
      <c r="G68" s="54"/>
    </row>
    <row r="69">
      <c r="A69" s="65"/>
      <c r="B69" s="75"/>
      <c r="C69" s="37" t="s">
        <v>268</v>
      </c>
      <c r="D69" s="37">
        <v>3.0</v>
      </c>
      <c r="E69" s="54"/>
      <c r="F69" s="54"/>
      <c r="G69" s="54"/>
    </row>
    <row r="70">
      <c r="A70" s="65"/>
      <c r="B70" s="75"/>
      <c r="C70" s="37" t="s">
        <v>269</v>
      </c>
      <c r="D70" s="37">
        <v>3.0</v>
      </c>
      <c r="E70" s="29"/>
      <c r="F70" s="54"/>
      <c r="G70" s="54"/>
    </row>
    <row r="71">
      <c r="A71" s="65"/>
      <c r="B71" s="75"/>
      <c r="C71" s="87" t="s">
        <v>270</v>
      </c>
      <c r="D71" s="37">
        <v>2.0</v>
      </c>
      <c r="E71" s="54"/>
      <c r="F71" s="54"/>
      <c r="G71" s="54"/>
    </row>
    <row r="72">
      <c r="A72" s="65"/>
      <c r="B72" s="75"/>
      <c r="C72" s="76" t="s">
        <v>271</v>
      </c>
      <c r="D72" s="77">
        <v>1.0</v>
      </c>
      <c r="E72" s="54"/>
      <c r="F72" s="54"/>
      <c r="G72" s="54"/>
    </row>
    <row r="73">
      <c r="A73" s="65"/>
      <c r="B73" s="75"/>
      <c r="C73" s="37" t="s">
        <v>272</v>
      </c>
      <c r="D73" s="37">
        <v>2.0</v>
      </c>
      <c r="E73" s="54"/>
      <c r="F73" s="54"/>
      <c r="G73" s="54"/>
    </row>
    <row r="74">
      <c r="A74" s="65"/>
      <c r="B74" s="75"/>
      <c r="C74" s="37" t="s">
        <v>273</v>
      </c>
      <c r="D74" s="37">
        <v>3.0</v>
      </c>
      <c r="E74" s="29"/>
      <c r="F74" s="29"/>
      <c r="G74" s="54"/>
    </row>
    <row r="75">
      <c r="A75" s="65"/>
      <c r="B75" s="75"/>
      <c r="C75" s="37" t="s">
        <v>274</v>
      </c>
      <c r="D75" s="29">
        <v>3.0</v>
      </c>
      <c r="E75" s="54"/>
      <c r="F75" s="29"/>
      <c r="G75" s="54"/>
    </row>
    <row r="76" ht="14.25" customHeight="1">
      <c r="A76" s="85"/>
      <c r="B76" s="85"/>
      <c r="C76" s="29"/>
      <c r="D76" s="29"/>
      <c r="E76" s="54"/>
      <c r="F76" s="29"/>
      <c r="G76" s="54"/>
    </row>
    <row r="77" ht="14.25" customHeight="1">
      <c r="A77" s="80">
        <f t="shared" ref="A77:B77" si="9">A15</f>
        <v>13</v>
      </c>
      <c r="B77" s="82" t="str">
        <f t="shared" si="9"/>
        <v>Prepare Demo Day and Project Hand-Over</v>
      </c>
      <c r="C77" s="83"/>
      <c r="D77" s="83"/>
      <c r="E77" s="31"/>
      <c r="F77" s="83"/>
      <c r="G77" s="31"/>
    </row>
    <row r="78">
      <c r="A78" s="65"/>
      <c r="B78" s="75"/>
      <c r="C78" s="29" t="s">
        <v>275</v>
      </c>
      <c r="D78" s="29">
        <v>5.0</v>
      </c>
      <c r="E78" s="29"/>
      <c r="F78" s="29"/>
      <c r="G78" s="54"/>
    </row>
    <row r="79">
      <c r="A79" s="65"/>
      <c r="B79" s="75"/>
      <c r="C79" s="29" t="s">
        <v>276</v>
      </c>
      <c r="D79" s="29">
        <v>5.0</v>
      </c>
      <c r="E79" s="29"/>
      <c r="F79" s="29"/>
      <c r="G79" s="54"/>
    </row>
    <row r="80">
      <c r="A80" s="65"/>
      <c r="B80" s="75"/>
      <c r="C80" s="29" t="s">
        <v>277</v>
      </c>
      <c r="D80" s="29">
        <v>3.0</v>
      </c>
      <c r="E80" s="29"/>
      <c r="F80" s="54"/>
      <c r="G80" s="54"/>
    </row>
    <row r="81">
      <c r="A81" s="65"/>
      <c r="B81" s="75"/>
      <c r="C81" s="29" t="s">
        <v>278</v>
      </c>
      <c r="D81" s="29">
        <v>1.0</v>
      </c>
      <c r="E81" s="29"/>
      <c r="F81" s="54"/>
      <c r="G81" s="54"/>
    </row>
    <row r="82">
      <c r="A82" s="65"/>
      <c r="B82" s="75"/>
      <c r="C82" s="29" t="s">
        <v>279</v>
      </c>
      <c r="D82" s="29">
        <v>1.0</v>
      </c>
      <c r="E82" s="29"/>
      <c r="F82" s="54"/>
      <c r="G82" s="54"/>
    </row>
    <row r="83">
      <c r="A83" s="65"/>
      <c r="B83" s="75"/>
      <c r="C83" s="76" t="s">
        <v>280</v>
      </c>
      <c r="D83" s="29">
        <v>3.0</v>
      </c>
      <c r="E83" s="54"/>
      <c r="F83" s="54"/>
      <c r="G83" s="54"/>
    </row>
    <row r="84">
      <c r="A84" s="65"/>
      <c r="B84" s="75"/>
      <c r="C84" s="76" t="s">
        <v>281</v>
      </c>
      <c r="D84" s="77">
        <v>2.0</v>
      </c>
      <c r="E84" s="54"/>
      <c r="F84" s="54"/>
      <c r="G84" s="54"/>
    </row>
    <row r="85">
      <c r="A85" s="65"/>
      <c r="B85" s="75"/>
      <c r="C85" s="37" t="s">
        <v>282</v>
      </c>
      <c r="D85" s="29">
        <v>3.0</v>
      </c>
      <c r="E85" s="54"/>
      <c r="F85" s="54"/>
      <c r="G85" s="54"/>
    </row>
    <row r="86">
      <c r="A86" s="65"/>
      <c r="B86" s="75"/>
      <c r="C86" s="37" t="s">
        <v>283</v>
      </c>
      <c r="D86" s="29">
        <v>2.0</v>
      </c>
      <c r="E86" s="29"/>
      <c r="F86" s="54"/>
      <c r="G86" s="54"/>
    </row>
    <row r="87">
      <c r="A87" s="65"/>
      <c r="B87" s="75"/>
      <c r="C87" s="37" t="s">
        <v>284</v>
      </c>
      <c r="D87" s="29">
        <v>3.0</v>
      </c>
      <c r="E87" s="29"/>
      <c r="F87" s="54"/>
      <c r="G87" s="54"/>
    </row>
    <row r="88">
      <c r="A88" s="65"/>
      <c r="B88" s="75"/>
      <c r="C88" s="37"/>
      <c r="D88" s="29"/>
      <c r="E88" s="29"/>
      <c r="F88" s="54"/>
      <c r="G88"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8" t="s">
        <v>65</v>
      </c>
      <c r="B1" s="49" t="s">
        <v>285</v>
      </c>
      <c r="C1" s="49" t="s">
        <v>286</v>
      </c>
      <c r="D1" s="89" t="s">
        <v>287</v>
      </c>
    </row>
    <row r="2">
      <c r="A2" s="5">
        <v>1.0</v>
      </c>
      <c r="B2" s="5" t="s">
        <v>288</v>
      </c>
      <c r="C2" s="5" t="s">
        <v>289</v>
      </c>
      <c r="D2" s="9" t="s">
        <v>290</v>
      </c>
    </row>
    <row r="3">
      <c r="A3" s="5">
        <v>2.0</v>
      </c>
      <c r="B3" s="9" t="s">
        <v>291</v>
      </c>
      <c r="C3" s="5" t="s">
        <v>292</v>
      </c>
      <c r="D3" s="9" t="s">
        <v>293</v>
      </c>
    </row>
    <row r="4">
      <c r="A4" s="5">
        <v>3.0</v>
      </c>
      <c r="B4" s="5" t="s">
        <v>294</v>
      </c>
      <c r="C4" s="9" t="s">
        <v>295</v>
      </c>
      <c r="D4" s="9" t="s">
        <v>296</v>
      </c>
    </row>
    <row r="5">
      <c r="A5" s="5">
        <v>4.0</v>
      </c>
      <c r="B5" s="5" t="s">
        <v>297</v>
      </c>
      <c r="C5" s="5" t="s">
        <v>298</v>
      </c>
      <c r="D5" s="2"/>
    </row>
    <row r="6">
      <c r="A6" s="5">
        <v>5.0</v>
      </c>
      <c r="C6" s="5" t="s">
        <v>299</v>
      </c>
      <c r="D6" s="2"/>
    </row>
    <row r="7">
      <c r="A7" s="5">
        <v>6.0</v>
      </c>
      <c r="C7" s="5" t="s">
        <v>300</v>
      </c>
      <c r="D7" s="2"/>
    </row>
    <row r="8">
      <c r="A8" s="2"/>
      <c r="B8" s="2"/>
      <c r="C8" s="2"/>
      <c r="D8" s="2"/>
    </row>
    <row r="9">
      <c r="A9" s="2"/>
      <c r="B9" s="2"/>
      <c r="C9" s="2"/>
    </row>
    <row r="10">
      <c r="A10" s="2"/>
      <c r="B10" s="5"/>
    </row>
    <row r="11">
      <c r="A11" s="2"/>
      <c r="B11" s="2"/>
      <c r="C11" s="2"/>
    </row>
    <row r="12">
      <c r="A12" s="2"/>
      <c r="B12" s="2"/>
      <c r="C12" s="2"/>
    </row>
    <row r="13">
      <c r="A13" s="2"/>
      <c r="B13" s="2"/>
      <c r="C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7.63"/>
    <col customWidth="1" min="2" max="2" width="100.13"/>
  </cols>
  <sheetData>
    <row r="1">
      <c r="A1" s="3" t="s">
        <v>301</v>
      </c>
      <c r="B1" s="3" t="s">
        <v>302</v>
      </c>
    </row>
    <row r="2">
      <c r="A2" s="5" t="s">
        <v>303</v>
      </c>
      <c r="B2" s="6" t="s">
        <v>304</v>
      </c>
    </row>
    <row r="3">
      <c r="A3" s="5" t="s">
        <v>305</v>
      </c>
      <c r="B3" s="6" t="s">
        <v>306</v>
      </c>
    </row>
    <row r="4">
      <c r="A4" s="5" t="s">
        <v>307</v>
      </c>
      <c r="B4" s="6" t="s">
        <v>308</v>
      </c>
    </row>
    <row r="5">
      <c r="A5" s="2"/>
      <c r="B5" s="2"/>
    </row>
    <row r="6">
      <c r="A6" s="2"/>
      <c r="B6" s="2"/>
    </row>
    <row r="7">
      <c r="A7" s="2"/>
      <c r="B7" s="2"/>
    </row>
    <row r="8">
      <c r="A8" s="2"/>
      <c r="B8" s="2"/>
    </row>
    <row r="9">
      <c r="A9" s="2"/>
      <c r="B9" s="2"/>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sheetData>
  <hyperlinks>
    <hyperlink r:id="rId1" ref="B2"/>
    <hyperlink r:id="rId2" ref="B3"/>
    <hyperlink r:id="rId3" ref="B4"/>
  </hyperlinks>
  <drawing r:id="rId4"/>
  <tableParts count="1">
    <tablePart r:id="rId6"/>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9.5"/>
    <col customWidth="1" min="6" max="6" width="37.63"/>
  </cols>
  <sheetData>
    <row r="1">
      <c r="A1" s="90" t="s">
        <v>65</v>
      </c>
      <c r="B1" s="91" t="s">
        <v>309</v>
      </c>
      <c r="C1" s="91" t="s">
        <v>310</v>
      </c>
      <c r="D1" s="92" t="s">
        <v>311</v>
      </c>
      <c r="E1" s="92" t="s">
        <v>312</v>
      </c>
      <c r="F1" s="91" t="s">
        <v>72</v>
      </c>
    </row>
    <row r="2">
      <c r="A2" s="93">
        <v>1.0</v>
      </c>
      <c r="B2" s="93" t="s">
        <v>313</v>
      </c>
      <c r="C2" s="93" t="s">
        <v>314</v>
      </c>
      <c r="D2" s="94">
        <v>19.0</v>
      </c>
      <c r="E2" s="94" t="s">
        <v>315</v>
      </c>
      <c r="F2" s="93" t="s">
        <v>316</v>
      </c>
    </row>
    <row r="3">
      <c r="A3" s="93">
        <v>2.0</v>
      </c>
      <c r="B3" s="93" t="s">
        <v>313</v>
      </c>
      <c r="C3" s="93" t="s">
        <v>317</v>
      </c>
      <c r="D3" s="94" t="s">
        <v>318</v>
      </c>
      <c r="E3" s="94" t="s">
        <v>319</v>
      </c>
      <c r="F3" s="93" t="s">
        <v>320</v>
      </c>
    </row>
    <row r="4">
      <c r="A4" s="93">
        <v>3.0</v>
      </c>
      <c r="B4" s="93" t="s">
        <v>313</v>
      </c>
      <c r="C4" s="93" t="s">
        <v>321</v>
      </c>
      <c r="D4" s="94" t="s">
        <v>322</v>
      </c>
      <c r="E4" s="94" t="s">
        <v>323</v>
      </c>
      <c r="F4" s="93" t="s">
        <v>324</v>
      </c>
    </row>
    <row r="5">
      <c r="A5" s="93">
        <v>4.0</v>
      </c>
      <c r="B5" s="93" t="s">
        <v>325</v>
      </c>
      <c r="C5" s="93" t="s">
        <v>326</v>
      </c>
      <c r="D5" s="94" t="s">
        <v>327</v>
      </c>
      <c r="E5" s="94" t="s">
        <v>315</v>
      </c>
      <c r="F5" s="9" t="s">
        <v>328</v>
      </c>
    </row>
    <row r="6">
      <c r="A6" s="93">
        <v>5.0</v>
      </c>
      <c r="B6" s="93" t="s">
        <v>325</v>
      </c>
      <c r="C6" s="93" t="s">
        <v>329</v>
      </c>
      <c r="D6" s="94" t="s">
        <v>327</v>
      </c>
      <c r="E6" s="94" t="s">
        <v>315</v>
      </c>
      <c r="F6" s="93" t="s">
        <v>330</v>
      </c>
    </row>
    <row r="7">
      <c r="A7" s="93">
        <v>6.0</v>
      </c>
      <c r="B7" s="93" t="s">
        <v>331</v>
      </c>
      <c r="C7" s="9" t="s">
        <v>332</v>
      </c>
      <c r="D7" s="94" t="s">
        <v>333</v>
      </c>
      <c r="E7" s="94" t="s">
        <v>315</v>
      </c>
      <c r="F7" s="9" t="s">
        <v>334</v>
      </c>
    </row>
    <row r="8">
      <c r="A8" s="93">
        <v>7.0</v>
      </c>
      <c r="B8" s="93" t="s">
        <v>331</v>
      </c>
      <c r="C8" s="9" t="s">
        <v>335</v>
      </c>
      <c r="D8" s="94" t="s">
        <v>336</v>
      </c>
      <c r="E8" s="94" t="s">
        <v>337</v>
      </c>
      <c r="F8" s="9" t="s">
        <v>338</v>
      </c>
    </row>
    <row r="9">
      <c r="A9" s="93">
        <v>8.0</v>
      </c>
      <c r="B9" s="93" t="s">
        <v>325</v>
      </c>
      <c r="C9" s="93" t="s">
        <v>339</v>
      </c>
      <c r="D9" s="94" t="s">
        <v>340</v>
      </c>
      <c r="E9" s="94" t="s">
        <v>337</v>
      </c>
      <c r="F9" s="9" t="s">
        <v>341</v>
      </c>
    </row>
    <row r="10">
      <c r="A10" s="93">
        <v>9.0</v>
      </c>
      <c r="B10" s="93" t="s">
        <v>313</v>
      </c>
      <c r="C10" s="93" t="s">
        <v>342</v>
      </c>
      <c r="D10" s="94" t="s">
        <v>343</v>
      </c>
      <c r="E10" s="94" t="s">
        <v>315</v>
      </c>
      <c r="F10" s="93" t="s">
        <v>344</v>
      </c>
    </row>
    <row r="11">
      <c r="A11" s="93">
        <v>10.0</v>
      </c>
      <c r="B11" s="93" t="s">
        <v>345</v>
      </c>
      <c r="C11" s="93" t="s">
        <v>346</v>
      </c>
      <c r="D11" s="94">
        <v>3.0</v>
      </c>
      <c r="E11" s="94" t="s">
        <v>315</v>
      </c>
      <c r="F11" s="93" t="s">
        <v>347</v>
      </c>
    </row>
    <row r="12">
      <c r="A12" s="93">
        <v>11.0</v>
      </c>
      <c r="B12" s="93" t="s">
        <v>345</v>
      </c>
      <c r="C12" s="93" t="s">
        <v>348</v>
      </c>
      <c r="D12" s="94" t="s">
        <v>349</v>
      </c>
      <c r="E12" s="94" t="s">
        <v>315</v>
      </c>
      <c r="F12" s="93" t="s">
        <v>350</v>
      </c>
    </row>
    <row r="13">
      <c r="A13" s="93">
        <v>12.0</v>
      </c>
      <c r="B13" s="93" t="s">
        <v>345</v>
      </c>
      <c r="C13" s="93" t="s">
        <v>351</v>
      </c>
      <c r="D13" s="94" t="s">
        <v>352</v>
      </c>
      <c r="E13" s="94" t="s">
        <v>315</v>
      </c>
      <c r="F13" s="93" t="s">
        <v>353</v>
      </c>
    </row>
    <row r="14">
      <c r="A14" s="93">
        <v>13.0</v>
      </c>
      <c r="B14" s="93" t="s">
        <v>345</v>
      </c>
      <c r="C14" s="93" t="s">
        <v>354</v>
      </c>
      <c r="D14" s="94">
        <v>5.0</v>
      </c>
      <c r="E14" s="94" t="s">
        <v>337</v>
      </c>
      <c r="F14" s="93" t="s">
        <v>355</v>
      </c>
    </row>
    <row r="15">
      <c r="A15" s="93">
        <v>14.0</v>
      </c>
      <c r="B15" s="93" t="s">
        <v>345</v>
      </c>
      <c r="C15" s="93" t="s">
        <v>356</v>
      </c>
      <c r="D15" s="94">
        <v>2.0</v>
      </c>
      <c r="E15" s="94" t="s">
        <v>337</v>
      </c>
      <c r="F15" s="93" t="s">
        <v>357</v>
      </c>
    </row>
    <row r="16">
      <c r="A16" s="93">
        <v>15.0</v>
      </c>
      <c r="B16" s="93" t="s">
        <v>345</v>
      </c>
      <c r="C16" s="93" t="s">
        <v>358</v>
      </c>
      <c r="D16" s="94">
        <v>3.0</v>
      </c>
      <c r="E16" s="94" t="s">
        <v>337</v>
      </c>
      <c r="F16" s="93" t="s">
        <v>359</v>
      </c>
    </row>
    <row r="17">
      <c r="A17" s="93">
        <v>16.0</v>
      </c>
      <c r="B17" s="93" t="s">
        <v>345</v>
      </c>
      <c r="C17" s="93" t="s">
        <v>360</v>
      </c>
      <c r="D17" s="94">
        <v>3.0</v>
      </c>
      <c r="E17" s="94" t="s">
        <v>315</v>
      </c>
      <c r="F17" s="93" t="s">
        <v>361</v>
      </c>
    </row>
    <row r="18">
      <c r="A18" s="93">
        <v>17.0</v>
      </c>
      <c r="B18" s="93" t="s">
        <v>345</v>
      </c>
      <c r="C18" s="93" t="s">
        <v>362</v>
      </c>
      <c r="D18" s="94">
        <v>3.0</v>
      </c>
      <c r="E18" s="94" t="s">
        <v>315</v>
      </c>
      <c r="F18" s="93" t="s">
        <v>363</v>
      </c>
    </row>
    <row r="19">
      <c r="A19" s="93">
        <v>18.0</v>
      </c>
      <c r="B19" s="93" t="s">
        <v>345</v>
      </c>
      <c r="C19" s="93" t="s">
        <v>364</v>
      </c>
      <c r="D19" s="94">
        <v>5.0</v>
      </c>
      <c r="E19" s="94" t="s">
        <v>315</v>
      </c>
      <c r="F19" s="93" t="s">
        <v>365</v>
      </c>
    </row>
    <row r="20">
      <c r="A20" s="93">
        <v>19.0</v>
      </c>
      <c r="B20" s="93" t="s">
        <v>313</v>
      </c>
      <c r="C20" s="93" t="s">
        <v>366</v>
      </c>
      <c r="D20" s="94" t="s">
        <v>367</v>
      </c>
      <c r="E20" s="94" t="s">
        <v>315</v>
      </c>
      <c r="F20" s="93" t="s">
        <v>344</v>
      </c>
    </row>
    <row r="21">
      <c r="A21" s="93">
        <v>20.0</v>
      </c>
      <c r="B21" s="93" t="s">
        <v>313</v>
      </c>
      <c r="C21" s="93" t="s">
        <v>368</v>
      </c>
      <c r="D21" s="94" t="s">
        <v>369</v>
      </c>
      <c r="E21" s="94" t="s">
        <v>337</v>
      </c>
      <c r="F21" s="93" t="s">
        <v>370</v>
      </c>
    </row>
    <row r="22">
      <c r="A22" s="93">
        <v>21.0</v>
      </c>
      <c r="B22" s="93" t="s">
        <v>313</v>
      </c>
      <c r="C22" s="93" t="s">
        <v>371</v>
      </c>
      <c r="D22" s="94" t="s">
        <v>372</v>
      </c>
      <c r="E22" s="94" t="s">
        <v>315</v>
      </c>
      <c r="F22" s="93" t="s">
        <v>373</v>
      </c>
    </row>
    <row r="23">
      <c r="A23" s="93">
        <v>22.0</v>
      </c>
      <c r="B23" s="93" t="s">
        <v>313</v>
      </c>
      <c r="C23" s="93" t="s">
        <v>374</v>
      </c>
      <c r="D23" s="94" t="s">
        <v>375</v>
      </c>
      <c r="E23" s="94" t="s">
        <v>315</v>
      </c>
      <c r="F23" s="93" t="s">
        <v>376</v>
      </c>
    </row>
    <row r="24">
      <c r="A24" s="93">
        <v>23.0</v>
      </c>
      <c r="B24" s="93" t="s">
        <v>313</v>
      </c>
      <c r="C24" s="93" t="s">
        <v>377</v>
      </c>
      <c r="D24" s="94" t="s">
        <v>378</v>
      </c>
      <c r="E24" s="94" t="s">
        <v>315</v>
      </c>
      <c r="F24" s="93" t="s">
        <v>379</v>
      </c>
    </row>
    <row r="25">
      <c r="A25" s="93">
        <v>24.0</v>
      </c>
      <c r="B25" s="93" t="s">
        <v>313</v>
      </c>
      <c r="C25" s="93" t="s">
        <v>380</v>
      </c>
      <c r="D25" s="94" t="s">
        <v>381</v>
      </c>
      <c r="E25" s="94" t="s">
        <v>315</v>
      </c>
      <c r="F25" s="93" t="s">
        <v>382</v>
      </c>
    </row>
    <row r="26">
      <c r="A26" s="93">
        <v>25.0</v>
      </c>
      <c r="B26" s="93" t="s">
        <v>148</v>
      </c>
      <c r="C26" s="93" t="s">
        <v>383</v>
      </c>
      <c r="D26" s="94" t="s">
        <v>384</v>
      </c>
      <c r="E26" s="94" t="s">
        <v>337</v>
      </c>
      <c r="F26" s="93" t="s">
        <v>385</v>
      </c>
    </row>
    <row r="27">
      <c r="A27" s="93">
        <v>26.0</v>
      </c>
      <c r="B27" s="93" t="s">
        <v>148</v>
      </c>
      <c r="C27" s="93" t="s">
        <v>386</v>
      </c>
      <c r="D27" s="94" t="s">
        <v>387</v>
      </c>
      <c r="E27" s="94" t="s">
        <v>388</v>
      </c>
      <c r="F27" s="93" t="s">
        <v>389</v>
      </c>
    </row>
    <row r="28">
      <c r="A28" s="93">
        <v>27.0</v>
      </c>
      <c r="B28" s="93" t="s">
        <v>148</v>
      </c>
      <c r="C28" s="93" t="s">
        <v>390</v>
      </c>
      <c r="D28" s="94" t="s">
        <v>391</v>
      </c>
      <c r="E28" s="94" t="s">
        <v>388</v>
      </c>
      <c r="F28" s="93" t="s">
        <v>392</v>
      </c>
    </row>
    <row r="29">
      <c r="A29" s="93">
        <v>28.0</v>
      </c>
      <c r="B29" s="93" t="s">
        <v>148</v>
      </c>
      <c r="C29" s="93" t="s">
        <v>393</v>
      </c>
      <c r="D29" s="94" t="s">
        <v>394</v>
      </c>
      <c r="E29" s="94" t="s">
        <v>315</v>
      </c>
      <c r="F29" s="93" t="s">
        <v>395</v>
      </c>
    </row>
    <row r="30">
      <c r="A30" s="93">
        <v>29.0</v>
      </c>
      <c r="B30" s="93" t="s">
        <v>396</v>
      </c>
      <c r="C30" s="93" t="s">
        <v>335</v>
      </c>
      <c r="D30" s="94" t="s">
        <v>397</v>
      </c>
      <c r="E30" s="94" t="s">
        <v>337</v>
      </c>
      <c r="F30" s="93" t="s">
        <v>398</v>
      </c>
    </row>
    <row r="31">
      <c r="A31" s="93">
        <v>30.0</v>
      </c>
      <c r="B31" s="93" t="s">
        <v>396</v>
      </c>
      <c r="C31" s="93" t="s">
        <v>399</v>
      </c>
      <c r="D31" s="94" t="s">
        <v>400</v>
      </c>
      <c r="E31" s="94" t="s">
        <v>337</v>
      </c>
      <c r="F31" s="93" t="s">
        <v>401</v>
      </c>
    </row>
    <row r="32">
      <c r="A32" s="93">
        <v>31.0</v>
      </c>
      <c r="B32" s="93" t="s">
        <v>396</v>
      </c>
      <c r="C32" s="93" t="s">
        <v>402</v>
      </c>
      <c r="D32" s="94" t="s">
        <v>400</v>
      </c>
      <c r="E32" s="94" t="s">
        <v>315</v>
      </c>
      <c r="F32" s="93" t="s">
        <v>403</v>
      </c>
    </row>
    <row r="33">
      <c r="A33" s="93"/>
      <c r="B33" s="93"/>
      <c r="C33" s="93"/>
      <c r="D33" s="94"/>
      <c r="E33" s="94"/>
      <c r="F33" s="9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5" t="str">
        <f>'Project Team'!A1</f>
        <v>Last Name</v>
      </c>
      <c r="B1" s="95" t="str">
        <f>'Project Team'!B1</f>
        <v>First Name</v>
      </c>
      <c r="C1" s="96" t="s">
        <v>404</v>
      </c>
      <c r="D1" s="97"/>
      <c r="E1" s="98"/>
      <c r="F1" s="99"/>
      <c r="G1" s="100"/>
      <c r="H1" s="100"/>
    </row>
    <row r="2">
      <c r="A2" s="101" t="str">
        <f>'Project Team'!A5</f>
        <v>Halder</v>
      </c>
      <c r="B2" s="101" t="str">
        <f>'Project Team'!B5</f>
        <v>Arpita</v>
      </c>
      <c r="C2" s="102">
        <v>1.0</v>
      </c>
      <c r="D2" s="103"/>
      <c r="E2" s="104">
        <f>average(C2:C10)</f>
        <v>1</v>
      </c>
      <c r="F2" s="105" t="str">
        <f>if(stdev(C2:C7) &gt; 0,"NOK", "OK")</f>
        <v>OK</v>
      </c>
      <c r="G2" s="106"/>
      <c r="H2" s="106"/>
    </row>
    <row r="3">
      <c r="A3" s="107" t="str">
        <f>'Project Team'!A6</f>
        <v>Kazi</v>
      </c>
      <c r="B3" s="107" t="str">
        <f>'Project Team'!B6</f>
        <v>Masudur Rahaman</v>
      </c>
      <c r="C3" s="102">
        <v>1.0</v>
      </c>
      <c r="D3" s="108"/>
      <c r="G3" s="109"/>
      <c r="H3" s="109"/>
    </row>
    <row r="4">
      <c r="A4" s="107" t="str">
        <f>'Project Team'!A8</f>
        <v>Ouabo</v>
      </c>
      <c r="B4" s="107" t="str">
        <f>'Project Team'!B8</f>
        <v>Samuel</v>
      </c>
      <c r="C4" s="102">
        <v>1.0</v>
      </c>
      <c r="D4" s="103"/>
      <c r="G4" s="106"/>
      <c r="H4" s="106"/>
    </row>
    <row r="5">
      <c r="A5" s="101" t="str">
        <f>'Project Team'!A9</f>
        <v>Billah</v>
      </c>
      <c r="B5" s="101" t="str">
        <f>'Project Team'!B9</f>
        <v>Masum</v>
      </c>
      <c r="C5" s="102">
        <v>1.0</v>
      </c>
      <c r="D5" s="110"/>
      <c r="E5" s="110"/>
      <c r="F5" s="110"/>
      <c r="G5" s="109"/>
      <c r="H5" s="109"/>
    </row>
    <row r="6">
      <c r="A6" s="107" t="str">
        <f>'Project Team'!A10</f>
        <v>Hussain</v>
      </c>
      <c r="B6" s="107" t="str">
        <f>'Project Team'!B10</f>
        <v>Syed Affan</v>
      </c>
      <c r="C6" s="102">
        <v>1.0</v>
      </c>
      <c r="D6" s="111"/>
      <c r="E6" s="112">
        <v>0.0</v>
      </c>
      <c r="F6" s="113" t="s">
        <v>405</v>
      </c>
      <c r="G6" s="106"/>
      <c r="H6" s="106"/>
    </row>
    <row r="7">
      <c r="A7" s="101" t="str">
        <f>'Project Team'!A11</f>
        <v>Djamen</v>
      </c>
      <c r="B7" s="101" t="str">
        <f>'Project Team'!B11</f>
        <v>Bastiane</v>
      </c>
      <c r="C7" s="102">
        <v>1.0</v>
      </c>
      <c r="D7" s="110"/>
      <c r="E7" s="112">
        <v>1.0</v>
      </c>
      <c r="F7" s="113" t="s">
        <v>406</v>
      </c>
      <c r="G7" s="109"/>
      <c r="H7" s="109"/>
    </row>
    <row r="8">
      <c r="C8" s="114"/>
      <c r="D8" s="111"/>
      <c r="E8" s="112">
        <v>2.0</v>
      </c>
      <c r="F8" s="113" t="s">
        <v>407</v>
      </c>
      <c r="G8" s="106"/>
      <c r="H8" s="106"/>
    </row>
    <row r="9">
      <c r="A9" s="107" t="str">
        <f>'Project Team'!A12</f>
        <v/>
      </c>
      <c r="B9" s="107" t="str">
        <f>'Project Team'!B12</f>
        <v/>
      </c>
      <c r="C9" s="114"/>
      <c r="D9" s="110"/>
      <c r="E9" s="112">
        <v>3.0</v>
      </c>
      <c r="F9" s="113" t="s">
        <v>408</v>
      </c>
      <c r="G9" s="109"/>
      <c r="H9" s="109"/>
    </row>
    <row r="10">
      <c r="A10" s="101" t="str">
        <f>'Project Team'!A13</f>
        <v/>
      </c>
      <c r="B10" s="101" t="str">
        <f>'Project Team'!B13</f>
        <v/>
      </c>
      <c r="C10" s="114"/>
      <c r="D10" s="111"/>
      <c r="E10" s="112">
        <v>5.0</v>
      </c>
      <c r="F10" s="113" t="s">
        <v>409</v>
      </c>
      <c r="G10" s="106"/>
      <c r="H10" s="106"/>
    </row>
    <row r="11">
      <c r="A11" s="107"/>
      <c r="B11" s="107"/>
      <c r="C11" s="115"/>
      <c r="D11" s="110"/>
      <c r="E11" s="112">
        <v>8.0</v>
      </c>
      <c r="F11" s="113" t="s">
        <v>410</v>
      </c>
      <c r="G11" s="109"/>
      <c r="H11" s="109"/>
    </row>
    <row r="12">
      <c r="A12" s="101"/>
      <c r="B12" s="101"/>
      <c r="C12" s="115"/>
      <c r="D12" s="111"/>
      <c r="E12" s="112">
        <v>13.0</v>
      </c>
      <c r="F12" s="113" t="s">
        <v>411</v>
      </c>
      <c r="G12" s="106"/>
      <c r="H12" s="106"/>
    </row>
    <row r="13">
      <c r="A13" s="107"/>
      <c r="B13" s="107"/>
      <c r="C13" s="110"/>
      <c r="D13" s="110"/>
      <c r="E13" s="110"/>
      <c r="F13" s="110"/>
      <c r="G13" s="109"/>
      <c r="H13" s="109"/>
    </row>
    <row r="14">
      <c r="A14" s="116" t="s">
        <v>412</v>
      </c>
      <c r="B14" s="117"/>
      <c r="C14" s="117"/>
      <c r="D14" s="117"/>
      <c r="E14" s="117"/>
      <c r="F14" s="117"/>
      <c r="G14" s="117"/>
      <c r="H14" s="117"/>
    </row>
    <row r="15">
      <c r="A15" s="118"/>
      <c r="B15" s="118"/>
      <c r="C15" s="118"/>
      <c r="D15" s="118"/>
      <c r="E15" s="118"/>
      <c r="F15" s="118"/>
      <c r="G15" s="118"/>
      <c r="H15" s="118"/>
    </row>
    <row r="16">
      <c r="A16" s="119" t="s">
        <v>413</v>
      </c>
      <c r="B16" s="120"/>
      <c r="C16" s="120"/>
      <c r="D16" s="120"/>
      <c r="E16" s="120"/>
      <c r="F16" s="120"/>
      <c r="G16" s="120"/>
      <c r="H16" s="120"/>
    </row>
    <row r="17">
      <c r="A17" s="121" t="s">
        <v>414</v>
      </c>
      <c r="B17" s="118"/>
      <c r="C17" s="118"/>
      <c r="D17" s="118"/>
      <c r="E17" s="118"/>
      <c r="F17" s="118"/>
      <c r="G17" s="118"/>
      <c r="H17" s="118"/>
    </row>
    <row r="18">
      <c r="A18" s="119" t="s">
        <v>415</v>
      </c>
      <c r="B18" s="120"/>
      <c r="C18" s="120"/>
      <c r="D18" s="120"/>
      <c r="E18" s="120"/>
      <c r="F18" s="120"/>
      <c r="G18" s="120"/>
      <c r="H18" s="120"/>
    </row>
    <row r="19">
      <c r="A19" s="118"/>
      <c r="B19" s="118"/>
      <c r="C19" s="118"/>
      <c r="D19" s="118"/>
      <c r="E19" s="118"/>
      <c r="F19" s="118"/>
      <c r="G19" s="118"/>
      <c r="H19" s="118"/>
    </row>
    <row r="20">
      <c r="A20" s="120"/>
      <c r="B20" s="120"/>
      <c r="C20" s="120"/>
      <c r="D20" s="120"/>
      <c r="E20" s="120"/>
      <c r="F20" s="120"/>
      <c r="G20" s="120"/>
      <c r="H20" s="120"/>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